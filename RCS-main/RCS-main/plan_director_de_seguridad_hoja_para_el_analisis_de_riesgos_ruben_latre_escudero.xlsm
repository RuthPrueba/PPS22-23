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ciones" sheetId="1" r:id="rId5"/>
    <sheet state="visible" name="Ejemplo de análisis" sheetId="2" r:id="rId6"/>
    <sheet state="visible" name="Tablas AR" sheetId="3" r:id="rId7"/>
    <sheet state="visible" name="Catálogo amenazas" sheetId="4" r:id="rId8"/>
    <sheet state="visible" name="Activos" sheetId="5" r:id="rId9"/>
    <sheet state="visible" name="Cruces Activo-Amenaza" sheetId="6" r:id="rId10"/>
    <sheet state="visible" name="Análisis de Riesgos" sheetId="7" r:id="rId11"/>
  </sheets>
  <definedNames/>
  <calcPr/>
  <extLst>
    <ext uri="GoogleSheetsCustomDataVersion1">
      <go:sheetsCustomData xmlns:go="http://customooxmlschemas.google.com/" r:id="rId12" roundtripDataSignature="AMtx7mjnmZcmnGFV/6vRv0g++dcaRNqF6g=="/>
    </ext>
  </extLst>
</workbook>
</file>

<file path=xl/sharedStrings.xml><?xml version="1.0" encoding="utf-8"?>
<sst xmlns="http://schemas.openxmlformats.org/spreadsheetml/2006/main" count="1284" uniqueCount="131">
  <si>
    <t>ANÁLISIS DE RIESGOS</t>
  </si>
  <si>
    <t>INSTRUCCIONES PARA REALIZAR LA ACTIVIDAD FINAL</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</si>
  <si>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</si>
  <si>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</si>
  <si>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</si>
  <si>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</si>
  <si>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t>w</t>
  </si>
  <si>
    <r>
      <rPr>
        <rFont val="Arial"/>
        <color theme="1"/>
        <sz val="11.0"/>
      </rPr>
      <t>Hoja «</t>
    </r>
    <r>
      <rPr>
        <rFont val="Arial"/>
        <b/>
        <color theme="1"/>
        <sz val="11.0"/>
      </rPr>
      <t>Ejemplo de análisis</t>
    </r>
    <r>
      <rPr>
        <rFont val="Arial"/>
        <color theme="1"/>
        <sz val="11.0"/>
      </rPr>
      <t>»: contiene un ejemplo de análisis de riesgos que podrás utilizar como referencia para realizar la actividad.</t>
    </r>
  </si>
  <si>
    <r>
      <rPr>
        <rFont val="Arial"/>
        <color theme="1"/>
        <sz val="11.0"/>
      </rPr>
      <t>Hoja «</t>
    </r>
    <r>
      <rPr>
        <rFont val="Arial"/>
        <b/>
        <color theme="1"/>
        <sz val="11.0"/>
      </rPr>
      <t>Tablas AR</t>
    </r>
    <r>
      <rPr>
        <rFont val="Arial"/>
        <color theme="1"/>
        <sz val="11.0"/>
      </rPr>
      <t>»: incluye unas tablas orientativas para realizar las valoraciones de la probabilidad y el impacto según una escala de tres valores.</t>
    </r>
  </si>
  <si>
    <r>
      <rPr>
        <rFont val="Arial"/>
        <color theme="1"/>
        <sz val="11.0"/>
      </rPr>
      <t>Hoja «</t>
    </r>
    <r>
      <rPr>
        <rFont val="Arial"/>
        <b/>
        <color theme="1"/>
        <sz val="11.0"/>
      </rPr>
      <t>Catálogo amenazas</t>
    </r>
    <r>
      <rPr>
        <rFont val="Arial"/>
        <color theme="1"/>
        <sz val="11.0"/>
      </rPr>
      <t>»: refleja las principales amenazas a considerar en el ámbito de un análisis de riesgos.</t>
    </r>
  </si>
  <si>
    <r>
      <rPr>
        <rFont val="Arial"/>
        <color theme="1"/>
        <sz val="11.0"/>
      </rPr>
      <t>Hoja «</t>
    </r>
    <r>
      <rPr>
        <rFont val="Arial"/>
        <b/>
        <color theme="1"/>
        <sz val="11.0"/>
      </rPr>
      <t>Activos</t>
    </r>
    <r>
      <rPr>
        <rFont val="Arial"/>
        <color theme="1"/>
        <sz val="11.0"/>
      </rPr>
      <t>»: contiene un listado con los activos definidos para cada uno de los modelos de empresa propuestos en las instrucciones de la actividad final.</t>
    </r>
  </si>
  <si>
    <r>
      <rPr>
        <rFont val="Arial"/>
        <color theme="1"/>
        <sz val="11.0"/>
      </rPr>
      <t>Hoja «</t>
    </r>
    <r>
      <rPr>
        <rFont val="Arial"/>
        <b/>
        <color theme="1"/>
        <sz val="11.0"/>
      </rPr>
      <t>Cruces Activo-Amenaza</t>
    </r>
    <r>
      <rPr>
        <rFont val="Arial"/>
        <color theme="1"/>
        <sz val="11.0"/>
      </rPr>
      <t>»: se utilizará para especificar las amenazas que afectan a los activos del modelo elegido.</t>
    </r>
  </si>
  <si>
    <r>
      <rPr>
        <rFont val="Arial"/>
        <color theme="1"/>
        <sz val="11.0"/>
      </rPr>
      <t>Hoja «</t>
    </r>
    <r>
      <rPr>
        <rFont val="Arial"/>
        <b/>
        <color theme="1"/>
        <sz val="11.0"/>
      </rPr>
      <t>Análisis de Riesgos</t>
    </r>
    <r>
      <rPr>
        <rFont val="Arial"/>
        <color theme="1"/>
        <sz val="11.0"/>
      </rPr>
      <t>»: se utilizará para realizar el análisis de riesgos. Se debe indicar la probabilidad y el impacto de cada amenaza sobre cada uno de los activos.</t>
    </r>
  </si>
  <si>
    <t>2º</t>
  </si>
  <si>
    <t>FUNCIONAMIENTO DE LA APLICACIÓN:</t>
  </si>
  <si>
    <r>
      <rPr>
        <rFont val="Arial"/>
        <b/>
        <color theme="1"/>
        <sz val="11.0"/>
      </rPr>
      <t>Paso 1</t>
    </r>
    <r>
      <rPr>
        <rFont val="Arial"/>
        <color theme="1"/>
        <sz val="11.0"/>
      </rPr>
      <t xml:space="preserve">: en la hoja </t>
    </r>
    <r>
      <rPr>
        <rFont val="Arial"/>
        <color rgb="FFFF0000"/>
        <sz val="11.0"/>
      </rPr>
      <t>«</t>
    </r>
    <r>
      <rPr>
        <rFont val="Arial"/>
        <b/>
        <color rgb="FFFF0000"/>
        <sz val="11.0"/>
      </rPr>
      <t>Activos</t>
    </r>
    <r>
      <rPr>
        <rFont val="Arial"/>
        <color rgb="FFFF0000"/>
        <sz val="11.0"/>
      </rPr>
      <t>»</t>
    </r>
    <r>
      <rPr>
        <rFont val="Arial"/>
        <color theme="1"/>
        <sz val="11.0"/>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</si>
  <si>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rFont val="Arial"/>
        <b/>
        <color theme="1"/>
        <sz val="11.0"/>
      </rPr>
      <t>Paso 2</t>
    </r>
    <r>
      <rPr>
        <rFont val="Arial"/>
        <color theme="1"/>
        <sz val="11.0"/>
      </rPr>
      <t xml:space="preserve">: en la hoja </t>
    </r>
    <r>
      <rPr>
        <rFont val="Arial"/>
        <b/>
        <color rgb="FF1F497D"/>
        <sz val="11.0"/>
      </rPr>
      <t xml:space="preserve">«Cruces Activo-Amenaza» </t>
    </r>
    <r>
      <rPr>
        <rFont val="Arial"/>
        <b/>
        <color theme="1"/>
        <sz val="11.0"/>
      </rPr>
      <t>s</t>
    </r>
    <r>
      <rPr>
        <rFont val="Arial"/>
        <color theme="1"/>
        <sz val="11.0"/>
      </rPr>
      <t>e mue</t>
    </r>
    <r>
      <rPr>
        <rFont val="Arial"/>
        <color theme="1"/>
        <sz val="11.0"/>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</si>
  <si>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rFont val="Arial"/>
        <b/>
        <color theme="1"/>
        <sz val="11.0"/>
      </rPr>
      <t>Paso 3</t>
    </r>
    <r>
      <rPr>
        <rFont val="Arial"/>
        <color theme="1"/>
        <sz val="11.0"/>
      </rPr>
      <t xml:space="preserve">: en la hoja </t>
    </r>
    <r>
      <rPr>
        <rFont val="Arial"/>
        <b/>
        <color rgb="FF4F6128"/>
        <sz val="11.0"/>
      </rPr>
      <t xml:space="preserve">«Análisis de Riesgos» </t>
    </r>
    <r>
      <rPr>
        <rFont val="Arial"/>
        <color theme="1"/>
        <sz val="11.0"/>
      </rPr>
      <t>se debe pulsar el</t>
    </r>
    <r>
      <rPr>
        <rFont val="Arial"/>
        <color theme="1"/>
        <sz val="11.0"/>
      </rPr>
      <t xml:space="preserve"> botón «Mostrar activos» (en la esquina superior izquierda). Este botón mostrará automáticamente todos los activos elegidos, con cada una de las amenazas asociadas a dichos activos.</t>
    </r>
  </si>
  <si>
    <r>
      <rPr>
        <rFont val="Arial"/>
        <b/>
        <color theme="1"/>
        <sz val="11.0"/>
      </rPr>
      <t>Paso 4</t>
    </r>
    <r>
      <rPr>
        <rFont val="Arial"/>
        <color theme="1"/>
        <sz val="11.0"/>
      </rPr>
      <t xml:space="preserve">: en la hoja </t>
    </r>
    <r>
      <rPr>
        <rFont val="Arial"/>
        <b/>
        <color rgb="FF4F6128"/>
        <sz val="11.0"/>
      </rPr>
      <t xml:space="preserve">«Análisis de Riesgos» </t>
    </r>
    <r>
      <rPr>
        <rFont val="Arial"/>
        <color theme="1"/>
        <sz val="11.0"/>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</si>
  <si>
    <t>ACTIVO</t>
  </si>
  <si>
    <t>AMENAZA</t>
  </si>
  <si>
    <t>PROBABILIDAD</t>
  </si>
  <si>
    <t>IMPACTO</t>
  </si>
  <si>
    <t>RIESGO</t>
  </si>
  <si>
    <t>Servidor 01 (Contabilidad)</t>
  </si>
  <si>
    <t>Fuga de información</t>
  </si>
  <si>
    <t>Degradación de los soportes de almacenamiento de la información</t>
  </si>
  <si>
    <t>Router Wifi (Clientes)</t>
  </si>
  <si>
    <t>Caída del sistema por sobrecarga</t>
  </si>
  <si>
    <t>Denegación de servicio</t>
  </si>
  <si>
    <t>Servidor 02 (Web)</t>
  </si>
  <si>
    <t>Corte del suministro eléctrico</t>
  </si>
  <si>
    <t>…</t>
  </si>
  <si>
    <t>(Añadir a la tabla tantas filas como sea necesario)</t>
  </si>
  <si>
    <t>TABLA PARA ESTIMAR LA PROBABILIDAD</t>
  </si>
  <si>
    <t>VALOR</t>
  </si>
  <si>
    <t>DESCRIPCIÓN</t>
  </si>
  <si>
    <t>Bajo (1)</t>
  </si>
  <si>
    <t>La amenaza se materializa a lo sumo una vez cada año.</t>
  </si>
  <si>
    <t>Medio (2)</t>
  </si>
  <si>
    <t>La amenaza se materializa a lo sumo una vez cada mes.</t>
  </si>
  <si>
    <t>Alto (3)</t>
  </si>
  <si>
    <t>La amenaza se materializa a lo sumo una vez cada semana.</t>
  </si>
  <si>
    <t>TABLA PARA ESTIMAR EL IMPACTO</t>
  </si>
  <si>
    <t xml:space="preserve"> </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</si>
  <si>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</si>
  <si>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</si>
  <si>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</si>
  <si>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CRITERIOS DE ACEPTACIÓN DEL RIESGO</t>
  </si>
  <si>
    <t>RANGO</t>
  </si>
  <si>
    <r>
      <rPr>
        <rFont val="Arial"/>
        <color theme="1"/>
        <sz val="11.0"/>
      </rPr>
      <t xml:space="preserve">Riesgo &lt;= </t>
    </r>
    <r>
      <rPr>
        <rFont val="Arial"/>
        <color rgb="FFFF0000"/>
        <sz val="11.0"/>
      </rPr>
      <t>4</t>
    </r>
  </si>
  <si>
    <t xml:space="preserve">La organización considera el riesgo poco reseñable. </t>
  </si>
  <si>
    <r>
      <rPr>
        <rFont val="Arial"/>
        <color theme="1"/>
        <sz val="11.0"/>
      </rPr>
      <t xml:space="preserve">Riesgo &gt; </t>
    </r>
    <r>
      <rPr>
        <rFont val="Arial"/>
        <color rgb="FFFF0000"/>
        <sz val="11.0"/>
      </rPr>
      <t>4</t>
    </r>
  </si>
  <si>
    <t>La organización considera el riesgo reseñable y debe proceder a su tratamiento.</t>
  </si>
  <si>
    <t>SI</t>
  </si>
  <si>
    <t>NO</t>
  </si>
  <si>
    <t>Amenazas</t>
  </si>
  <si>
    <t>Fuego</t>
  </si>
  <si>
    <t>Errores de los usuarios</t>
  </si>
  <si>
    <t>Daños por agua</t>
  </si>
  <si>
    <t>Condiciones inadecuadas de temperatura o humedad</t>
  </si>
  <si>
    <t>Errores del administrador</t>
  </si>
  <si>
    <t>Desastres naturales</t>
  </si>
  <si>
    <t>Fallo de servicios de comunicaciones</t>
  </si>
  <si>
    <t>Errores de configuración</t>
  </si>
  <si>
    <t>Interrupción de otros servicios y suministros esenciales</t>
  </si>
  <si>
    <t>Desastres industriales</t>
  </si>
  <si>
    <t>Introducción de falsa información</t>
  </si>
  <si>
    <t>Robo</t>
  </si>
  <si>
    <t>Alteración de la información</t>
  </si>
  <si>
    <t>Indisponibilidad del personal</t>
  </si>
  <si>
    <t>Corrupción de la información</t>
  </si>
  <si>
    <t>Difusión de software dañino</t>
  </si>
  <si>
    <t>Extorsión</t>
  </si>
  <si>
    <t>Destrucción de información</t>
  </si>
  <si>
    <t>Errores de mantenimiento / actualización de programas (software)</t>
  </si>
  <si>
    <t>Ingeniería social</t>
  </si>
  <si>
    <t>Interceptación de información (escucha)</t>
  </si>
  <si>
    <t>Errores de mantenimiento / actualización de equipos (hardware)</t>
  </si>
  <si>
    <t>Pérdida de equipos</t>
  </si>
  <si>
    <t>Abuso de privilegios de acceso</t>
  </si>
  <si>
    <t>Acceso no autorizado</t>
  </si>
  <si>
    <t>Identificador</t>
  </si>
  <si>
    <t>Activo</t>
  </si>
  <si>
    <t>Aplicación</t>
  </si>
  <si>
    <t>Modelo A</t>
  </si>
  <si>
    <t>A1</t>
  </si>
  <si>
    <t>ordenador(es)</t>
  </si>
  <si>
    <t>A2</t>
  </si>
  <si>
    <t>móvil(es) principalmente para telefonía</t>
  </si>
  <si>
    <t>A3</t>
  </si>
  <si>
    <t>conexión a Internet e incluso wifi</t>
  </si>
  <si>
    <t>Modelo B</t>
  </si>
  <si>
    <t>B1</t>
  </si>
  <si>
    <t>ordenadores y conexión a Internet (con wifi)</t>
  </si>
  <si>
    <t>B2</t>
  </si>
  <si>
    <t xml:space="preserve">dispositivos móviles para telefonía y datos  </t>
  </si>
  <si>
    <t>B3</t>
  </si>
  <si>
    <r>
      <rPr>
        <rFont val="Arial"/>
        <color theme="1"/>
        <sz val="11.0"/>
      </rPr>
      <t xml:space="preserve">soluciones tecnológicas gratuitas para la gestión empresarial como correo electrónico, CRM e incluso herramientas colaborativas o de almacenamiento </t>
    </r>
    <r>
      <rPr>
        <rFont val="Arial"/>
        <i/>
        <color theme="1"/>
        <sz val="11.0"/>
      </rPr>
      <t>cloud</t>
    </r>
  </si>
  <si>
    <t>B4</t>
  </si>
  <si>
    <t>una página web sencilla alojada y gestionada por un proveedor externo</t>
  </si>
  <si>
    <t>Modelo C</t>
  </si>
  <si>
    <t>C1</t>
  </si>
  <si>
    <t xml:space="preserve">ordenadores e incluso algún servidor (web, correo electrónico,…) </t>
  </si>
  <si>
    <t>C2</t>
  </si>
  <si>
    <t>conexión a Internet con wifi</t>
  </si>
  <si>
    <t>C3</t>
  </si>
  <si>
    <t>dispositivos móviles con datos y apps para su trabajo</t>
  </si>
  <si>
    <t>C4</t>
  </si>
  <si>
    <t>herramienta(s) comercial(es) de gestión de negocio (CRM y ERP)</t>
  </si>
  <si>
    <t>C5</t>
  </si>
  <si>
    <t xml:space="preserve">página web / tienda online y redes sociales que gestionan desde la empresa </t>
  </si>
  <si>
    <t>C6</t>
  </si>
  <si>
    <t>herramientas para empresas en la nube</t>
  </si>
  <si>
    <t>C7</t>
  </si>
  <si>
    <t>e-administración para su relación con las AAPP</t>
  </si>
  <si>
    <t>C8</t>
  </si>
  <si>
    <t>CPD</t>
  </si>
  <si>
    <t>C9</t>
  </si>
  <si>
    <t>SAIs</t>
  </si>
  <si>
    <t>C10</t>
  </si>
  <si>
    <t>Enfriadoras</t>
  </si>
  <si>
    <t>C11</t>
  </si>
  <si>
    <t>Grupo electrógeno de emergencia</t>
  </si>
  <si>
    <t>Amenaza/Activo</t>
  </si>
  <si>
    <t>Amenaza</t>
  </si>
  <si>
    <t>Probabilidad</t>
  </si>
  <si>
    <t>Impacto</t>
  </si>
  <si>
    <t>Riesgo</t>
  </si>
  <si>
    <t>ordenadores e incluso algún servidor (web, correo electrónico,…)</t>
  </si>
  <si>
    <t>página web / tienda online y redes sociales que gestionan desde la empresa</t>
  </si>
</sst>
</file>

<file path=xl/styles.xml><?xml version="1.0" encoding="utf-8"?>
<styleSheet xmlns="http://schemas.openxmlformats.org/spreadsheetml/2006/main" xmlns:x14ac="http://schemas.microsoft.com/office/spreadsheetml/2009/9/ac" xmlns:mc="http://schemas.openxmlformats.org/markup-compatibility/2006">
  <fonts count="17">
    <font>
      <sz val="11.0"/>
      <color theme="1"/>
      <name val="Calibri"/>
      <scheme val="minor"/>
    </font>
    <font>
      <sz val="11.0"/>
      <color theme="1"/>
      <name val="Arial"/>
    </font>
    <font>
      <b/>
      <sz val="16.0"/>
      <color rgb="FFFF0000"/>
      <name val="Arial"/>
    </font>
    <font/>
    <font>
      <b/>
      <sz val="14.0"/>
      <color rgb="FFFF0000"/>
      <name val="Arial"/>
    </font>
    <font>
      <b/>
      <sz val="14.0"/>
      <color rgb="FF7F7F7F"/>
      <name val="Arial"/>
    </font>
    <font>
      <b/>
      <sz val="11.0"/>
      <color rgb="FFFF0000"/>
      <name val="Arial"/>
    </font>
    <font>
      <b/>
      <sz val="11.0"/>
      <color rgb="FFFF0000"/>
      <name val="Noto Sans Symbols"/>
    </font>
    <font>
      <b/>
      <sz val="14.0"/>
      <color theme="0"/>
      <name val="Arial"/>
    </font>
    <font>
      <b/>
      <sz val="12.0"/>
      <color rgb="FF000000"/>
      <name val="Arial"/>
    </font>
    <font>
      <sz val="12.0"/>
      <color theme="1"/>
      <name val="Arial"/>
    </font>
    <font>
      <i/>
      <sz val="12.0"/>
      <color theme="1"/>
      <name val="Arial"/>
    </font>
    <font>
      <b/>
      <sz val="11.0"/>
      <color theme="1"/>
      <name val="Arial"/>
    </font>
    <font>
      <b/>
      <sz val="11.0"/>
      <color theme="0"/>
      <name val="Arial"/>
    </font>
    <font>
      <color theme="1"/>
      <name val="Calibri"/>
      <scheme val="minor"/>
    </font>
    <font>
      <sz val="11.0"/>
      <color theme="1"/>
      <name val="Calibri"/>
    </font>
    <font>
      <sz val="11.0"/>
      <color rgb="FF000000"/>
      <name val="Calibri"/>
    </font>
  </fonts>
  <fills count="16">
    <fill>
      <patternFill patternType="none"/>
    </fill>
    <fill>
      <patternFill patternType="lightGray"/>
    </fill>
    <fill>
      <patternFill patternType="solid">
        <fgColor theme="0"/>
        <bgColor theme="0"/>
      </patternFill>
    </fill>
    <fill>
      <patternFill patternType="solid">
        <fgColor rgb="FFE62C00"/>
        <bgColor rgb="FFE62C00"/>
      </patternFill>
    </fill>
    <fill>
      <patternFill patternType="solid">
        <fgColor rgb="FFD8D8D8"/>
        <bgColor rgb="FFD8D8D8"/>
      </patternFill>
    </fill>
    <fill>
      <patternFill patternType="solid">
        <fgColor rgb="FFC6D9F0"/>
        <bgColor rgb="FFC6D9F0"/>
      </patternFill>
    </fill>
    <fill>
      <patternFill patternType="solid">
        <fgColor rgb="FFEAF1DD"/>
        <bgColor rgb="FFEAF1DD"/>
      </patternFill>
    </fill>
    <fill>
      <patternFill patternType="solid">
        <fgColor rgb="FFFDE9D9"/>
        <bgColor rgb="FFFDE9D9"/>
      </patternFill>
    </fill>
    <fill>
      <patternFill patternType="solid">
        <fgColor rgb="FFF2F2F2"/>
        <bgColor rgb="FFF2F2F2"/>
      </patternFill>
    </fill>
    <fill>
      <patternFill patternType="solid">
        <fgColor rgb="FFE5DFEC"/>
        <bgColor rgb="FFE5DFEC"/>
      </patternFill>
    </fill>
    <fill>
      <patternFill patternType="solid">
        <fgColor rgb="FFF2DBDB"/>
        <bgColor rgb="FFF2DBDB"/>
      </patternFill>
    </fill>
    <fill>
      <patternFill patternType="solid">
        <fgColor rgb="FFFF0000"/>
        <bgColor rgb="FFFF0000"/>
      </patternFill>
    </fill>
    <fill>
      <patternFill patternType="solid">
        <fgColor rgb="FFE5B8B7"/>
        <bgColor rgb="FFE5B8B7"/>
      </patternFill>
    </fill>
    <fill>
      <patternFill patternType="solid">
        <fgColor rgb="FFA5A5A5"/>
        <bgColor rgb="FFA5A5A5"/>
      </patternFill>
    </fill>
    <fill>
      <patternFill patternType="solid">
        <fgColor rgb="FFBFBFBF"/>
        <bgColor rgb="FFBFBFBF"/>
      </patternFill>
    </fill>
    <fill>
      <patternFill patternType="solid">
        <fgColor rgb="FFFFFF66"/>
        <bgColor rgb="FFFFFF66"/>
      </patternFill>
    </fill>
  </fills>
  <borders count="32">
    <border/>
    <border>
      <left style="thick">
        <color rgb="FF7F7F7F"/>
      </left>
      <top style="thick">
        <color rgb="FF7F7F7F"/>
      </top>
    </border>
    <border>
      <top style="thick">
        <color rgb="FF7F7F7F"/>
      </top>
    </border>
    <border>
      <right style="thick">
        <color rgb="FF7F7F7F"/>
      </right>
      <top style="thick">
        <color rgb="FF7F7F7F"/>
      </top>
    </border>
    <border>
      <left style="thick">
        <color rgb="FF7F7F7F"/>
      </left>
    </border>
    <border>
      <right style="thick">
        <color rgb="FF7F7F7F"/>
      </right>
    </border>
    <border>
      <left style="thick">
        <color rgb="FF7F7F7F"/>
      </left>
      <bottom style="thick">
        <color rgb="FF7F7F7F"/>
      </bottom>
    </border>
    <border>
      <bottom style="thick">
        <color rgb="FF7F7F7F"/>
      </bottom>
    </border>
    <border>
      <right style="thick">
        <color rgb="FF7F7F7F"/>
      </right>
      <bottom style="thick">
        <color rgb="FF7F7F7F"/>
      </bottom>
    </border>
    <border>
      <bottom style="medium">
        <color rgb="FFFF0000"/>
      </bottom>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top/>
      <bottom/>
    </border>
    <border>
      <top/>
      <bottom/>
    </border>
    <border>
      <right/>
      <top/>
      <bottom/>
    </border>
    <border>
      <left style="thick">
        <color rgb="FF000000"/>
      </left>
      <right style="thick">
        <color rgb="FF000000"/>
      </right>
      <top style="thick">
        <color rgb="FF000000"/>
      </top>
      <bottom style="thick">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thin">
        <color rgb="FF000000"/>
      </left>
      <right style="thin">
        <color rgb="FF000000"/>
      </right>
      <top style="thin">
        <color rgb="FF000000"/>
      </top>
    </border>
    <border>
      <left style="thin">
        <color rgb="FF000000"/>
      </left>
      <right style="medium">
        <color rgb="FF000000"/>
      </right>
      <top style="thin">
        <color rgb="FF000000"/>
      </top>
    </border>
    <border>
      <left style="medium">
        <color rgb="FF000000"/>
      </left>
      <top/>
      <bottom/>
    </border>
    <border>
      <left style="thin">
        <color rgb="FFD9D9D9"/>
      </left>
      <right style="thin">
        <color rgb="FFD9D9D9"/>
      </right>
      <top style="thin">
        <color rgb="FFD9D9D9"/>
      </top>
      <bottom style="thin">
        <color rgb="FFD9D9D9"/>
      </bottom>
    </border>
  </borders>
  <cellStyleXfs count="1">
    <xf borderId="0" fillId="0" fontId="0" numFmtId="0" applyAlignment="1" applyFont="1"/>
  </cellStyleXfs>
  <cellXfs count="95">
    <xf borderId="0" fillId="0" fontId="0" numFmtId="0" xfId="0" applyAlignment="1" applyFont="1">
      <alignment readingOrder="0" shrinkToFit="0" vertical="bottom" wrapText="0"/>
    </xf>
    <xf borderId="1" fillId="0" fontId="1" numFmtId="0" xfId="0" applyBorder="1" applyFont="1"/>
    <xf borderId="2" fillId="0" fontId="1" numFmtId="0" xfId="0" applyBorder="1" applyFont="1"/>
    <xf borderId="0" fillId="0" fontId="1" numFmtId="0" xfId="0" applyFont="1"/>
    <xf borderId="2" fillId="0" fontId="2" numFmtId="0" xfId="0" applyAlignment="1" applyBorder="1" applyFont="1">
      <alignment horizontal="center" vertical="center"/>
    </xf>
    <xf borderId="2" fillId="0" fontId="3" numFmtId="0" xfId="0" applyBorder="1" applyFont="1"/>
    <xf borderId="3" fillId="0" fontId="3" numFmtId="0" xfId="0" applyBorder="1" applyFont="1"/>
    <xf borderId="4" fillId="0" fontId="1" numFmtId="0" xfId="0" applyBorder="1" applyFont="1"/>
    <xf borderId="0" fillId="0" fontId="4" numFmtId="0" xfId="0" applyAlignment="1" applyFont="1">
      <alignment vertical="center"/>
    </xf>
    <xf borderId="5" fillId="0" fontId="3" numFmtId="0" xfId="0" applyBorder="1" applyFont="1"/>
    <xf borderId="0" fillId="0" fontId="5" numFmtId="0" xfId="0" applyAlignment="1" applyFont="1">
      <alignment horizontal="center" vertical="center"/>
    </xf>
    <xf borderId="6" fillId="0" fontId="1" numFmtId="0" xfId="0" applyBorder="1" applyFont="1"/>
    <xf borderId="7" fillId="0" fontId="1" numFmtId="0" xfId="0" applyBorder="1" applyFont="1"/>
    <xf borderId="7" fillId="0" fontId="5" numFmtId="0" xfId="0" applyAlignment="1" applyBorder="1" applyFont="1">
      <alignment vertical="center"/>
    </xf>
    <xf borderId="7" fillId="0" fontId="3" numFmtId="0" xfId="0" applyBorder="1" applyFont="1"/>
    <xf borderId="8" fillId="0" fontId="3" numFmtId="0" xfId="0" applyBorder="1" applyFont="1"/>
    <xf borderId="0" fillId="0" fontId="6" numFmtId="0" xfId="0" applyAlignment="1" applyFont="1">
      <alignment horizontal="center" vertical="center"/>
    </xf>
    <xf borderId="9" fillId="0" fontId="6" numFmtId="0" xfId="0" applyBorder="1" applyFont="1"/>
    <xf borderId="9" fillId="0" fontId="1" numFmtId="0" xfId="0" applyBorder="1" applyFont="1"/>
    <xf borderId="0" fillId="0" fontId="1" numFmtId="0" xfId="0" applyAlignment="1" applyFont="1">
      <alignment horizontal="center" vertical="center"/>
    </xf>
    <xf borderId="0" fillId="0" fontId="1" numFmtId="0" xfId="0" applyAlignment="1" applyFont="1">
      <alignment vertical="top"/>
    </xf>
    <xf borderId="0" fillId="0" fontId="7" numFmtId="0" xfId="0" applyAlignment="1" applyFont="1">
      <alignment horizontal="center" vertical="center"/>
    </xf>
    <xf borderId="0" fillId="0" fontId="1" numFmtId="0" xfId="0" applyAlignment="1" applyFont="1">
      <alignment vertical="center"/>
    </xf>
    <xf borderId="0" fillId="0" fontId="7" numFmtId="0" xfId="0" applyAlignment="1" applyFont="1">
      <alignment horizontal="center" vertical="top"/>
    </xf>
    <xf borderId="0" fillId="0" fontId="1" numFmtId="0" xfId="0" applyAlignment="1" applyFont="1">
      <alignment horizontal="left" shrinkToFit="0" vertical="top" wrapText="1"/>
    </xf>
    <xf borderId="10" fillId="2" fontId="1" numFmtId="0" xfId="0" applyAlignment="1" applyBorder="1" applyFill="1" applyFont="1">
      <alignment vertical="center"/>
    </xf>
    <xf borderId="11" fillId="3" fontId="8" numFmtId="0" xfId="0" applyAlignment="1" applyBorder="1" applyFill="1" applyFont="1">
      <alignment horizontal="center" shrinkToFit="0" vertical="center" wrapText="1"/>
    </xf>
    <xf borderId="12" fillId="0" fontId="3" numFmtId="0" xfId="0" applyBorder="1" applyFont="1"/>
    <xf borderId="13" fillId="0" fontId="3" numFmtId="0" xfId="0" applyBorder="1" applyFont="1"/>
    <xf borderId="14" fillId="4" fontId="9" numFmtId="0" xfId="0" applyAlignment="1" applyBorder="1" applyFill="1" applyFont="1">
      <alignment horizontal="center" shrinkToFit="0" vertical="center" wrapText="1"/>
    </xf>
    <xf borderId="15" fillId="2" fontId="10" numFmtId="0" xfId="0" applyAlignment="1" applyBorder="1" applyFont="1">
      <alignment vertical="center"/>
    </xf>
    <xf borderId="15" fillId="2" fontId="10" numFmtId="0" xfId="0" applyAlignment="1" applyBorder="1" applyFont="1">
      <alignment shrinkToFit="0" vertical="center" wrapText="1"/>
    </xf>
    <xf borderId="15" fillId="2" fontId="10" numFmtId="0" xfId="0" applyAlignment="1" applyBorder="1" applyFont="1">
      <alignment horizontal="center" vertical="center"/>
    </xf>
    <xf borderId="15" fillId="2" fontId="11" numFmtId="0" xfId="0" applyAlignment="1" applyBorder="1" applyFont="1">
      <alignment horizontal="center" vertical="center"/>
    </xf>
    <xf borderId="11" fillId="3" fontId="8" numFmtId="0" xfId="0" applyAlignment="1" applyBorder="1" applyFont="1">
      <alignment horizontal="center" vertical="center"/>
    </xf>
    <xf borderId="15" fillId="2" fontId="1" numFmtId="0" xfId="0" applyAlignment="1" applyBorder="1" applyFont="1">
      <alignment horizontal="center" shrinkToFit="0" vertical="center" wrapText="1"/>
    </xf>
    <xf borderId="15" fillId="2" fontId="1" numFmtId="0" xfId="0" applyAlignment="1" applyBorder="1" applyFont="1">
      <alignment horizontal="left" vertical="center"/>
    </xf>
    <xf borderId="15" fillId="2" fontId="1" numFmtId="0" xfId="0" applyAlignment="1" applyBorder="1" applyFont="1">
      <alignment horizontal="left" shrinkToFit="0" vertical="center" wrapText="1"/>
    </xf>
    <xf borderId="15" fillId="2" fontId="1" numFmtId="16" xfId="0" applyAlignment="1" applyBorder="1" applyFont="1" applyNumberFormat="1">
      <alignment horizontal="center" vertical="center"/>
    </xf>
    <xf borderId="15" fillId="2" fontId="1" numFmtId="0" xfId="0" applyAlignment="1" applyBorder="1" applyFont="1">
      <alignment horizontal="center" vertical="center"/>
    </xf>
    <xf borderId="10" fillId="3" fontId="8" numFmtId="0" xfId="0" applyAlignment="1" applyBorder="1" applyFont="1">
      <alignment horizontal="center" vertical="center"/>
    </xf>
    <xf borderId="10" fillId="2" fontId="1" numFmtId="0" xfId="0" applyAlignment="1" applyBorder="1" applyFont="1">
      <alignment horizontal="center" vertical="center"/>
    </xf>
    <xf borderId="16" fillId="3" fontId="8" numFmtId="0" xfId="0" applyAlignment="1" applyBorder="1" applyFont="1">
      <alignment horizontal="center" vertical="center"/>
    </xf>
    <xf borderId="17" fillId="0" fontId="3" numFmtId="0" xfId="0" applyBorder="1" applyFont="1"/>
    <xf borderId="18" fillId="0" fontId="3" numFmtId="0" xfId="0" applyBorder="1" applyFont="1"/>
    <xf borderId="10" fillId="5" fontId="1" numFmtId="0" xfId="0" applyAlignment="1" applyBorder="1" applyFill="1" applyFont="1">
      <alignment vertical="center"/>
    </xf>
    <xf borderId="16" fillId="6" fontId="1" numFmtId="0" xfId="0" applyAlignment="1" applyBorder="1" applyFill="1" applyFont="1">
      <alignment horizontal="left" vertical="center"/>
    </xf>
    <xf borderId="16" fillId="7" fontId="1" numFmtId="0" xfId="0" applyAlignment="1" applyBorder="1" applyFill="1" applyFont="1">
      <alignment horizontal="left" vertical="center"/>
    </xf>
    <xf borderId="10" fillId="8" fontId="1" numFmtId="0" xfId="0" applyAlignment="1" applyBorder="1" applyFill="1" applyFont="1">
      <alignment vertical="center"/>
    </xf>
    <xf borderId="16" fillId="9" fontId="1" numFmtId="0" xfId="0" applyAlignment="1" applyBorder="1" applyFill="1" applyFont="1">
      <alignment horizontal="left" vertical="center"/>
    </xf>
    <xf borderId="16" fillId="10" fontId="1" numFmtId="0" xfId="0" applyAlignment="1" applyBorder="1" applyFill="1" applyFont="1">
      <alignment horizontal="left" vertical="center"/>
    </xf>
    <xf borderId="19" fillId="0" fontId="12" numFmtId="0" xfId="0" applyAlignment="1" applyBorder="1" applyFont="1">
      <alignment horizontal="center"/>
    </xf>
    <xf borderId="19" fillId="0" fontId="12" numFmtId="0" xfId="0" applyAlignment="1" applyBorder="1" applyFont="1">
      <alignment horizontal="center" shrinkToFit="0" wrapText="1"/>
    </xf>
    <xf borderId="0" fillId="0" fontId="1" numFmtId="0" xfId="0" applyAlignment="1" applyFont="1">
      <alignment shrinkToFit="0" wrapText="1"/>
    </xf>
    <xf borderId="20" fillId="11" fontId="13" numFmtId="0" xfId="0" applyAlignment="1" applyBorder="1" applyFill="1" applyFont="1">
      <alignment horizontal="center" vertical="top"/>
    </xf>
    <xf borderId="21" fillId="0" fontId="1" numFmtId="0" xfId="0" applyAlignment="1" applyBorder="1" applyFont="1">
      <alignment horizontal="center"/>
    </xf>
    <xf borderId="21" fillId="0" fontId="1" numFmtId="0" xfId="0" applyAlignment="1" applyBorder="1" applyFont="1">
      <alignment shrinkToFit="0" vertical="center" wrapText="1"/>
    </xf>
    <xf borderId="22" fillId="12" fontId="1" numFmtId="0" xfId="0" applyAlignment="1" applyBorder="1" applyFill="1" applyFont="1">
      <alignment horizontal="center" readingOrder="0"/>
    </xf>
    <xf borderId="23" fillId="0" fontId="3" numFmtId="0" xfId="0" applyBorder="1" applyFont="1"/>
    <xf borderId="15" fillId="0" fontId="1" numFmtId="0" xfId="0" applyAlignment="1" applyBorder="1" applyFont="1">
      <alignment horizontal="center"/>
    </xf>
    <xf borderId="15" fillId="0" fontId="1" numFmtId="0" xfId="0" applyAlignment="1" applyBorder="1" applyFont="1">
      <alignment shrinkToFit="0" vertical="center" wrapText="1"/>
    </xf>
    <xf borderId="24" fillId="12" fontId="1" numFmtId="0" xfId="0" applyAlignment="1" applyBorder="1" applyFont="1">
      <alignment horizontal="center" readingOrder="0"/>
    </xf>
    <xf borderId="25" fillId="0" fontId="3" numFmtId="0" xfId="0" applyBorder="1" applyFont="1"/>
    <xf borderId="26" fillId="0" fontId="1" numFmtId="0" xfId="0" applyAlignment="1" applyBorder="1" applyFont="1">
      <alignment horizontal="center"/>
    </xf>
    <xf borderId="26" fillId="0" fontId="1" numFmtId="0" xfId="0" applyAlignment="1" applyBorder="1" applyFont="1">
      <alignment shrinkToFit="0" wrapText="1"/>
    </xf>
    <xf borderId="27" fillId="12" fontId="1" numFmtId="0" xfId="0" applyAlignment="1" applyBorder="1" applyFont="1">
      <alignment horizontal="center" readingOrder="0"/>
    </xf>
    <xf borderId="20" fillId="13" fontId="13" numFmtId="0" xfId="0" applyAlignment="1" applyBorder="1" applyFill="1" applyFont="1">
      <alignment horizontal="center" vertical="top"/>
    </xf>
    <xf borderId="22" fillId="14" fontId="1" numFmtId="0" xfId="0" applyAlignment="1" applyBorder="1" applyFill="1" applyFont="1">
      <alignment horizontal="center" readingOrder="0"/>
    </xf>
    <xf borderId="15" fillId="0" fontId="1" numFmtId="0" xfId="0" applyAlignment="1" applyBorder="1" applyFont="1">
      <alignment horizontal="left" shrinkToFit="0" vertical="center" wrapText="1"/>
    </xf>
    <xf borderId="24" fillId="14" fontId="1" numFmtId="0" xfId="0" applyAlignment="1" applyBorder="1" applyFont="1">
      <alignment horizontal="center" readingOrder="0"/>
    </xf>
    <xf borderId="28" fillId="0" fontId="1" numFmtId="0" xfId="0" applyAlignment="1" applyBorder="1" applyFont="1">
      <alignment horizontal="center"/>
    </xf>
    <xf borderId="28" fillId="0" fontId="1" numFmtId="0" xfId="0" applyAlignment="1" applyBorder="1" applyFont="1">
      <alignment shrinkToFit="0" wrapText="1"/>
    </xf>
    <xf borderId="29" fillId="14" fontId="1" numFmtId="0" xfId="0" applyAlignment="1" applyBorder="1" applyFont="1">
      <alignment horizontal="center" readingOrder="0"/>
    </xf>
    <xf borderId="20" fillId="15" fontId="12" numFmtId="0" xfId="0" applyAlignment="1" applyBorder="1" applyFill="1" applyFont="1">
      <alignment horizontal="center" vertical="top"/>
    </xf>
    <xf borderId="22" fillId="15" fontId="1" numFmtId="0" xfId="0" applyAlignment="1" applyBorder="1" applyFont="1">
      <alignment horizontal="center" readingOrder="0"/>
    </xf>
    <xf borderId="24" fillId="15" fontId="1" numFmtId="0" xfId="0" applyAlignment="1" applyBorder="1" applyFont="1">
      <alignment horizontal="center" readingOrder="0"/>
    </xf>
    <xf borderId="15" fillId="0" fontId="1" numFmtId="0" xfId="0" applyAlignment="1" applyBorder="1" applyFont="1">
      <alignment shrinkToFit="0" wrapText="1"/>
    </xf>
    <xf borderId="15" fillId="0" fontId="1" numFmtId="0" xfId="0" applyAlignment="1" applyBorder="1" applyFont="1">
      <alignment readingOrder="0" shrinkToFit="0" wrapText="1"/>
    </xf>
    <xf borderId="26" fillId="0" fontId="1" numFmtId="0" xfId="0" applyAlignment="1" applyBorder="1" applyFont="1">
      <alignment readingOrder="0" shrinkToFit="0" wrapText="1"/>
    </xf>
    <xf borderId="27" fillId="15" fontId="1" numFmtId="0" xfId="0" applyAlignment="1" applyBorder="1" applyFont="1">
      <alignment horizontal="center" readingOrder="0"/>
    </xf>
    <xf borderId="0" fillId="0" fontId="14" numFmtId="0" xfId="0" applyFont="1"/>
    <xf borderId="0" fillId="0" fontId="15" numFmtId="0" xfId="0" applyAlignment="1" applyFont="1">
      <alignment readingOrder="0"/>
    </xf>
    <xf borderId="0" fillId="0" fontId="14" numFmtId="0" xfId="0" applyAlignment="1" applyFont="1">
      <alignment readingOrder="0"/>
    </xf>
    <xf borderId="10" fillId="6" fontId="1" numFmtId="0" xfId="0" applyAlignment="1" applyBorder="1" applyFont="1">
      <alignment vertical="center"/>
    </xf>
    <xf borderId="10" fillId="10" fontId="1" numFmtId="0" xfId="0" applyAlignment="1" applyBorder="1" applyFont="1">
      <alignment vertical="center"/>
    </xf>
    <xf borderId="10" fillId="7" fontId="1" numFmtId="0" xfId="0" applyAlignment="1" applyBorder="1" applyFont="1">
      <alignment vertical="center"/>
    </xf>
    <xf borderId="10" fillId="9" fontId="1" numFmtId="0" xfId="0" applyAlignment="1" applyBorder="1" applyFont="1">
      <alignment vertical="center"/>
    </xf>
    <xf borderId="30" fillId="3" fontId="8" numFmtId="0" xfId="0" applyAlignment="1" applyBorder="1" applyFont="1">
      <alignment horizontal="center" shrinkToFit="0" vertical="center" wrapText="1"/>
    </xf>
    <xf borderId="0" fillId="0" fontId="16" numFmtId="0" xfId="0" applyAlignment="1" applyFont="1">
      <alignment readingOrder="0" vertical="bottom"/>
    </xf>
    <xf borderId="0" fillId="0" fontId="15" numFmtId="0" xfId="0" applyFont="1"/>
    <xf borderId="31" fillId="0" fontId="16" numFmtId="0" xfId="0" applyAlignment="1" applyBorder="1" applyFont="1">
      <alignment readingOrder="0" vertical="bottom"/>
    </xf>
    <xf borderId="0" fillId="0" fontId="15" numFmtId="0" xfId="0" applyAlignment="1" applyFont="1">
      <alignment readingOrder="0" shrinkToFit="0" wrapText="1"/>
    </xf>
    <xf borderId="31" fillId="0" fontId="15" numFmtId="0" xfId="0" applyAlignment="1" applyBorder="1" applyFont="1">
      <alignment vertical="center"/>
    </xf>
    <xf borderId="31" fillId="0" fontId="15" numFmtId="0" xfId="0" applyAlignment="1" applyBorder="1" applyFont="1">
      <alignment readingOrder="0" shrinkToFit="0" wrapText="1"/>
    </xf>
    <xf borderId="0" fillId="0" fontId="15" numFmtId="0" xfId="0" applyAlignment="1" applyFont="1">
      <alignment shrinkToFit="0" wrapText="1"/>
    </xf>
  </cellXfs>
  <cellStyles count="1">
    <cellStyle xfId="0" name="Normal" builtinId="0"/>
  </cellStyles>
  <dxfs count="6">
    <dxf>
      <font/>
      <fill>
        <patternFill patternType="solid">
          <fgColor rgb="FF00B050"/>
          <bgColor rgb="FF00B050"/>
        </patternFill>
      </fill>
      <border/>
    </dxf>
    <dxf>
      <font/>
      <fill>
        <patternFill patternType="solid">
          <fgColor rgb="FFFF0000"/>
          <bgColor rgb="FFFF0000"/>
        </patternFill>
      </fill>
      <border/>
    </dxf>
    <dxf>
      <font/>
      <fill>
        <patternFill patternType="solid">
          <fgColor rgb="FFFF9900"/>
          <bgColor rgb="FFFF9900"/>
        </patternFill>
      </fill>
      <border/>
    </dxf>
    <dxf>
      <font/>
      <fill>
        <patternFill patternType="solid">
          <fgColor rgb="FFFFCC00"/>
          <bgColor rgb="FFFFCC00"/>
        </patternFill>
      </fill>
      <border/>
    </dxf>
    <dxf>
      <font/>
      <fill>
        <patternFill patternType="solid">
          <fgColor rgb="FFFFFF66"/>
          <bgColor rgb="FFFFFF66"/>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238125</xdr:colOff>
      <xdr:row>0</xdr:row>
      <xdr:rowOff>152400</xdr:rowOff>
    </xdr:from>
    <xdr:ext cx="2476500" cy="609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9286875" cy="4010025"/>
    <xdr:sp>
      <xdr:nvSpPr>
        <xdr:cNvPr id="3" name="Shape 3"/>
        <xdr:cNvSpPr txBox="1"/>
      </xdr:nvSpPr>
      <xdr:spPr>
        <a:xfrm>
          <a:off x="705007" y="1776282"/>
          <a:ext cx="9281987" cy="400743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sz="1400"/>
        </a:p>
        <a:p>
          <a:pPr indent="0" lvl="0" marL="0" rtl="0" algn="l">
            <a:lnSpc>
              <a:spcPct val="127272"/>
            </a:lnSpc>
            <a:spcBef>
              <a:spcPts val="400"/>
            </a:spcBef>
            <a:spcAft>
              <a:spcPts val="0"/>
            </a:spcAft>
            <a:buNone/>
          </a:pP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1. Determinar el riesgo aceptable </a:t>
          </a:r>
          <a:r>
            <a:rPr lang="en-US" sz="1100">
              <a:solidFill>
                <a:schemeClr val="dk1"/>
              </a:solidFill>
              <a:latin typeface="Arial"/>
              <a:ea typeface="Arial"/>
              <a:cs typeface="Arial"/>
              <a:sym typeface="Arial"/>
            </a:rPr>
            <a:t>por la organización, e indicarlo en la  pestaña "Tablas AR".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2. Identificar los activos críticos </a:t>
          </a:r>
          <a:r>
            <a:rPr lang="en-US" sz="1100">
              <a:solidFill>
                <a:schemeClr val="dk1"/>
              </a:solidFill>
              <a:latin typeface="Arial"/>
              <a:ea typeface="Arial"/>
              <a:cs typeface="Arial"/>
              <a:sym typeface="Arial"/>
            </a:rPr>
            <a:t>de la organización.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3. Identificar las amenazas </a:t>
          </a:r>
          <a:r>
            <a:rPr lang="en-US" sz="1100">
              <a:solidFill>
                <a:schemeClr val="dk1"/>
              </a:solidFill>
              <a:latin typeface="Arial"/>
              <a:ea typeface="Arial"/>
              <a:cs typeface="Arial"/>
              <a:sym typeface="Arial"/>
            </a:rPr>
            <a:t>que aplican a cada uno de los activos críticos, según la pestaña "</a:t>
          </a:r>
          <a:r>
            <a:rPr b="1" lang="en-US" sz="1100">
              <a:solidFill>
                <a:schemeClr val="dk1"/>
              </a:solidFill>
              <a:latin typeface="Arial"/>
              <a:ea typeface="Arial"/>
              <a:cs typeface="Arial"/>
              <a:sym typeface="Arial"/>
            </a:rPr>
            <a:t>Catálogo Amenazas</a:t>
          </a:r>
          <a:r>
            <a:rPr lang="en-US" sz="1100">
              <a:solidFill>
                <a:schemeClr val="dk1"/>
              </a:solidFill>
              <a:latin typeface="Arial"/>
              <a:ea typeface="Arial"/>
              <a:cs typeface="Arial"/>
              <a:sym typeface="Arial"/>
            </a:rPr>
            <a:t>".</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4. Establecer la probabilidad y el impacto </a:t>
          </a:r>
          <a:r>
            <a:rPr lang="en-US" sz="1100">
              <a:solidFill>
                <a:schemeClr val="dk1"/>
              </a:solidFill>
              <a:latin typeface="Arial"/>
              <a:ea typeface="Arial"/>
              <a:cs typeface="Arial"/>
              <a:sym typeface="Arial"/>
            </a:rPr>
            <a:t>de que dicha amenaza se materialice, según los valores de la pestaña "</a:t>
          </a:r>
          <a:r>
            <a:rPr b="1" lang="en-US" sz="1100">
              <a:solidFill>
                <a:schemeClr val="dk1"/>
              </a:solidFill>
              <a:latin typeface="Arial"/>
              <a:ea typeface="Arial"/>
              <a:cs typeface="Arial"/>
              <a:sym typeface="Arial"/>
            </a:rPr>
            <a:t>Tablas AR</a:t>
          </a:r>
          <a:r>
            <a:rPr lang="en-US" sz="1100">
              <a:solidFill>
                <a:schemeClr val="dk1"/>
              </a:solidFill>
              <a:latin typeface="Arial"/>
              <a:ea typeface="Arial"/>
              <a:cs typeface="Arial"/>
              <a:sym typeface="Arial"/>
            </a:rPr>
            <a:t>".</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5. Establecer medidas </a:t>
          </a:r>
          <a:r>
            <a:rPr lang="en-US" sz="1100">
              <a:solidFill>
                <a:schemeClr val="dk1"/>
              </a:solidFill>
              <a:latin typeface="Arial"/>
              <a:ea typeface="Arial"/>
              <a:cs typeface="Arial"/>
              <a:sym typeface="Arial"/>
            </a:rPr>
            <a:t>para aquellos riesgos que superen el riesgo aceptable indicado.</a:t>
          </a:r>
          <a:endParaRPr sz="1400"/>
        </a:p>
        <a:p>
          <a:pPr indent="0" lvl="0" marL="0" rtl="0" algn="l">
            <a:lnSpc>
              <a:spcPct val="136363"/>
            </a:lnSpc>
            <a:spcBef>
              <a:spcPts val="400"/>
            </a:spcBef>
            <a:spcAft>
              <a:spcPts val="0"/>
            </a:spcAft>
            <a:buNone/>
          </a:pPr>
          <a:r>
            <a:t/>
          </a:r>
          <a:endParaRPr sz="1100">
            <a:latin typeface="Arial"/>
            <a:ea typeface="Arial"/>
            <a:cs typeface="Arial"/>
            <a:sym typeface="Arial"/>
          </a:endParaRPr>
        </a:p>
        <a:p>
          <a:pPr indent="0" lvl="0" marL="0" rtl="0" algn="l">
            <a:lnSpc>
              <a:spcPct val="127272"/>
            </a:lnSpc>
            <a:spcBef>
              <a:spcPts val="400"/>
            </a:spcBef>
            <a:spcAft>
              <a:spcPts val="0"/>
            </a:spcAft>
            <a:buNone/>
          </a:pPr>
          <a:r>
            <a:rPr lang="en-US" sz="1100">
              <a:solidFill>
                <a:schemeClr val="dk1"/>
              </a:solidFill>
              <a:latin typeface="Arial"/>
              <a:ea typeface="Arial"/>
              <a:cs typeface="Arial"/>
              <a:sym typeface="Arial"/>
            </a:rPr>
            <a:t>Campos</a:t>
          </a:r>
          <a:r>
            <a:rPr lang="en-US" sz="1100">
              <a:solidFill>
                <a:schemeClr val="dk1"/>
              </a:solidFill>
              <a:latin typeface="Arial"/>
              <a:ea typeface="Arial"/>
              <a:cs typeface="Arial"/>
              <a:sym typeface="Arial"/>
            </a:rPr>
            <a:t> de la tabla:</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Activo</a:t>
          </a:r>
          <a:r>
            <a:rPr lang="en-US" sz="1100">
              <a:solidFill>
                <a:schemeClr val="dk1"/>
              </a:solidFill>
              <a:latin typeface="Arial"/>
              <a:ea typeface="Arial"/>
              <a:cs typeface="Arial"/>
              <a:sym typeface="Arial"/>
            </a:rPr>
            <a:t>: Nombre del activo sobre el que se evalúa el riesgo.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Amenaza</a:t>
          </a:r>
          <a:r>
            <a:rPr lang="en-US" sz="1100">
              <a:solidFill>
                <a:schemeClr val="dk1"/>
              </a:solidFill>
              <a:latin typeface="Arial"/>
              <a:ea typeface="Arial"/>
              <a:cs typeface="Arial"/>
              <a:sym typeface="Arial"/>
            </a:rPr>
            <a:t>: Descripción de la amenaza a la que está expuesta el activo.</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Probabilidad</a:t>
          </a:r>
          <a:r>
            <a:rPr lang="en-US" sz="1100">
              <a:solidFill>
                <a:schemeClr val="dk1"/>
              </a:solidFill>
              <a:latin typeface="Arial"/>
              <a:ea typeface="Arial"/>
              <a:cs typeface="Arial"/>
              <a:sym typeface="Arial"/>
            </a:rPr>
            <a:t>. Probabilidad de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Impacto</a:t>
          </a:r>
          <a:r>
            <a:rPr lang="en-US" sz="1100">
              <a:solidFill>
                <a:schemeClr val="dk1"/>
              </a:solidFill>
              <a:latin typeface="Arial"/>
              <a:ea typeface="Arial"/>
              <a:cs typeface="Arial"/>
              <a:sym typeface="Arial"/>
            </a:rPr>
            <a:t>. Impacto derivado de la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Riesgo</a:t>
          </a:r>
          <a:r>
            <a:rPr lang="en-US" sz="1100">
              <a:solidFill>
                <a:schemeClr val="dk1"/>
              </a:solidFill>
              <a:latin typeface="Arial"/>
              <a:ea typeface="Arial"/>
              <a:cs typeface="Arial"/>
              <a:sym typeface="Arial"/>
            </a:rPr>
            <a:t>. Valor de riesgo resultante.</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90909"/>
            </a:lnSpc>
            <a:spcBef>
              <a:spcPts val="400"/>
            </a:spcBef>
            <a:spcAft>
              <a:spcPts val="0"/>
            </a:spcAft>
            <a:buNone/>
          </a:pPr>
          <a:r>
            <a:rPr lang="en-US" sz="1100">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81818"/>
            </a:lnSpc>
            <a:spcBef>
              <a:spcPts val="400"/>
            </a:spcBef>
            <a:spcAft>
              <a:spcPts val="0"/>
            </a:spcAft>
            <a:buNone/>
          </a:pPr>
          <a:r>
            <a:t/>
          </a:r>
          <a:endParaRPr sz="1100">
            <a:latin typeface="Arial"/>
            <a:ea typeface="Arial"/>
            <a:cs typeface="Arial"/>
            <a:sym typeface="Arial"/>
          </a:endParaRPr>
        </a:p>
      </xdr:txBody>
    </xdr:sp>
    <xdr:clientData fLocksWithSheet="0"/>
  </xdr:oneCellAnchor>
  <xdr:oneCellAnchor>
    <xdr:from>
      <xdr:col>1</xdr:col>
      <xdr:colOff>-9525</xdr:colOff>
      <xdr:row>0</xdr:row>
      <xdr:rowOff>4333875</xdr:rowOff>
    </xdr:from>
    <xdr:ext cx="11620500" cy="514350"/>
    <xdr:sp>
      <xdr:nvSpPr>
        <xdr:cNvPr id="4" name="Shape 4"/>
        <xdr:cNvSpPr txBox="1"/>
      </xdr:nvSpPr>
      <xdr:spPr>
        <a:xfrm>
          <a:off x="0" y="3537113"/>
          <a:ext cx="10692000" cy="485775"/>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1</xdr:col>
      <xdr:colOff>85725</xdr:colOff>
      <xdr:row>0</xdr:row>
      <xdr:rowOff>685800</xdr:rowOff>
    </xdr:from>
    <xdr:ext cx="2476500" cy="6096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1647825</xdr:colOff>
      <xdr:row>0</xdr:row>
      <xdr:rowOff>133350</xdr:rowOff>
    </xdr:from>
    <xdr:ext cx="8610600" cy="1152525"/>
    <xdr:sp>
      <xdr:nvSpPr>
        <xdr:cNvPr id="5" name="Shape 5"/>
        <xdr:cNvSpPr txBox="1"/>
      </xdr:nvSpPr>
      <xdr:spPr>
        <a:xfrm>
          <a:off x="1041923" y="3205326"/>
          <a:ext cx="8608155" cy="1149348"/>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Debajo se recogen</a:t>
          </a:r>
          <a:r>
            <a:rPr lang="en-US" sz="1100">
              <a:solidFill>
                <a:schemeClr val="dk1"/>
              </a:solidFill>
              <a:latin typeface="Arial"/>
              <a:ea typeface="Arial"/>
              <a:cs typeface="Arial"/>
              <a:sym typeface="Arial"/>
            </a:rPr>
            <a:t> tablas orientativas para realizar las valoraciones de impacto según escalas de tres valores. En función del nivel de detalle que se desee conseguir, puede aumentarse el número de intervalos de la escala.</a:t>
          </a:r>
          <a:endParaRPr sz="1400"/>
        </a:p>
        <a:p>
          <a:pPr indent="0" lvl="0" marL="0" rtl="0" algn="l">
            <a:lnSpc>
              <a:spcPct val="118181"/>
            </a:lnSpc>
            <a:spcBef>
              <a:spcPts val="400"/>
            </a:spcBef>
            <a:spcAft>
              <a:spcPts val="0"/>
            </a:spcAft>
            <a:buNone/>
          </a:pPr>
          <a:r>
            <a:t/>
          </a:r>
          <a:endParaRPr sz="1100">
            <a:latin typeface="Arial"/>
            <a:ea typeface="Arial"/>
            <a:cs typeface="Arial"/>
            <a:sym typeface="Arial"/>
          </a:endParaRPr>
        </a:p>
        <a:p>
          <a:pPr indent="0" lvl="0" marL="0" rtl="0" algn="l">
            <a:spcBef>
              <a:spcPts val="400"/>
            </a:spcBef>
            <a:spcAft>
              <a:spcPts val="0"/>
            </a:spcAft>
            <a:buNone/>
          </a:pPr>
          <a:r>
            <a:rPr lang="en-US" sz="1100">
              <a:solidFill>
                <a:schemeClr val="dk1"/>
              </a:solidFill>
              <a:latin typeface="Arial"/>
              <a:ea typeface="Arial"/>
              <a:cs typeface="Arial"/>
              <a:sym typeface="Arial"/>
            </a:rPr>
            <a:t>Asimismo, se incluye una tabla para la definición del riesgo aceptable, que debe ser definido previamente a la realización del análisis de riesgos de acuerdo a la estrategia corporativa.</a:t>
          </a:r>
          <a:endParaRPr sz="1100">
            <a:latin typeface="Arial"/>
            <a:ea typeface="Arial"/>
            <a:cs typeface="Arial"/>
            <a:sym typeface="Arial"/>
          </a:endParaRPr>
        </a:p>
      </xdr:txBody>
    </xdr:sp>
    <xdr:clientData fLocksWithSheet="0"/>
  </xdr:oneCellAnchor>
  <xdr:oneCellAnchor>
    <xdr:from>
      <xdr:col>0</xdr:col>
      <xdr:colOff>466725</xdr:colOff>
      <xdr:row>0</xdr:row>
      <xdr:rowOff>1466850</xdr:rowOff>
    </xdr:from>
    <xdr:ext cx="11115675" cy="504825"/>
    <xdr:sp>
      <xdr:nvSpPr>
        <xdr:cNvPr id="6" name="Shape 6"/>
        <xdr:cNvSpPr txBox="1"/>
      </xdr:nvSpPr>
      <xdr:spPr>
        <a:xfrm>
          <a:off x="0" y="3541875"/>
          <a:ext cx="10692000" cy="47625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4</xdr:col>
      <xdr:colOff>47625</xdr:colOff>
      <xdr:row>0</xdr:row>
      <xdr:rowOff>476250</xdr:rowOff>
    </xdr:from>
    <xdr:ext cx="3952875" cy="38481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85725</xdr:colOff>
      <xdr:row>0</xdr:row>
      <xdr:rowOff>381000</xdr:rowOff>
    </xdr:from>
    <xdr:ext cx="2486025" cy="581025"/>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2628900</xdr:colOff>
      <xdr:row>0</xdr:row>
      <xdr:rowOff>238125</xdr:rowOff>
    </xdr:from>
    <xdr:ext cx="9496425" cy="1695450"/>
    <xdr:sp>
      <xdr:nvSpPr>
        <xdr:cNvPr id="7" name="Shape 7"/>
        <xdr:cNvSpPr txBox="1"/>
      </xdr:nvSpPr>
      <xdr:spPr>
        <a:xfrm>
          <a:off x="601784" y="2935917"/>
          <a:ext cx="9488433" cy="168816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400">
              <a:solidFill>
                <a:schemeClr val="dk1"/>
              </a:solidFill>
              <a:latin typeface="Arial"/>
              <a:ea typeface="Arial"/>
              <a:cs typeface="Arial"/>
              <a:sym typeface="Arial"/>
            </a:rPr>
            <a:t>El siguiente listado recoge las principales amenazas a considerar en el ámbito de un análisis de riesgos.</a:t>
          </a:r>
          <a:r>
            <a:rPr lang="en-US" sz="1400">
              <a:solidFill>
                <a:schemeClr val="dk1"/>
              </a:solidFill>
              <a:latin typeface="Arial"/>
              <a:ea typeface="Arial"/>
              <a:cs typeface="Arial"/>
              <a:sym typeface="Arial"/>
            </a:rPr>
            <a:t> </a:t>
          </a:r>
          <a:r>
            <a:rPr lang="en-US" sz="1400">
              <a:solidFill>
                <a:schemeClr val="dk1"/>
              </a:solidFill>
              <a:latin typeface="Arial"/>
              <a:ea typeface="Arial"/>
              <a:cs typeface="Arial"/>
              <a:sym typeface="Arial"/>
            </a:rPr>
            <a:t>Se trata de un extracto ligeramente modificado del catálogo de amenazas de MAGERIT.</a:t>
          </a:r>
          <a:endParaRPr sz="1400"/>
        </a:p>
        <a:p>
          <a:pPr indent="0" lvl="0" marL="0" rtl="0" algn="l">
            <a:spcBef>
              <a:spcPts val="1200"/>
            </a:spcBef>
            <a:spcAft>
              <a:spcPts val="0"/>
            </a:spcAft>
            <a:buNone/>
          </a:pPr>
          <a:r>
            <a:rPr lang="en-US" sz="1400">
              <a:solidFill>
                <a:schemeClr val="dk1"/>
              </a:solidFill>
              <a:latin typeface="Arial"/>
              <a:ea typeface="Arial"/>
              <a:cs typeface="Arial"/>
              <a:sym typeface="Arial"/>
            </a:rPr>
            <a:t>Para</a:t>
          </a:r>
          <a:r>
            <a:rPr lang="en-US" sz="1400">
              <a:solidFill>
                <a:schemeClr val="dk1"/>
              </a:solidFill>
              <a:latin typeface="Arial"/>
              <a:ea typeface="Arial"/>
              <a:cs typeface="Arial"/>
              <a:sym typeface="Arial"/>
            </a:rPr>
            <a:t> información más detallada, pueden consultarse los catálogos de MAGERIT V3 en su página web:</a:t>
          </a:r>
          <a:endParaRPr sz="1400"/>
        </a:p>
        <a:p>
          <a:pPr indent="0" lvl="0" marL="0" rtl="0" algn="l">
            <a:spcBef>
              <a:spcPts val="1200"/>
            </a:spcBef>
            <a:spcAft>
              <a:spcPts val="0"/>
            </a:spcAft>
            <a:buNone/>
          </a:pPr>
          <a:r>
            <a:rPr b="1" i="1" lang="en-US" sz="1400">
              <a:solidFill>
                <a:schemeClr val="dk1"/>
              </a:solidFill>
              <a:latin typeface="Arial"/>
              <a:ea typeface="Arial"/>
              <a:cs typeface="Arial"/>
              <a:sym typeface="Arial"/>
            </a:rPr>
            <a:t>http://administracionelectronica.gob.es/ctt/verPestanaDescargas.htm?idIniciativa=184#.U48C7Pl_tO4</a:t>
          </a:r>
          <a:endParaRPr sz="1400"/>
        </a:p>
      </xdr:txBody>
    </xdr:sp>
    <xdr:clientData fLocksWithSheet="0"/>
  </xdr:oneCellAnchor>
  <xdr:oneCellAnchor>
    <xdr:from>
      <xdr:col>1</xdr:col>
      <xdr:colOff>0</xdr:colOff>
      <xdr:row>0</xdr:row>
      <xdr:rowOff>2362200</xdr:rowOff>
    </xdr:from>
    <xdr:ext cx="11972925" cy="514350"/>
    <xdr:sp>
      <xdr:nvSpPr>
        <xdr:cNvPr id="8" name="Shape 8"/>
        <xdr:cNvSpPr txBox="1"/>
      </xdr:nvSpPr>
      <xdr:spPr>
        <a:xfrm>
          <a:off x="0" y="3532350"/>
          <a:ext cx="10692000" cy="49530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INCIBE no se responsabiliza del uso que pueda hacerse de la misma.</a:t>
          </a:r>
          <a:endParaRPr sz="1400"/>
        </a:p>
      </xdr:txBody>
    </xdr:sp>
    <xdr:clientData fLocksWithSheet="0"/>
  </xdr:oneCellAnchor>
  <xdr:oneCellAnchor>
    <xdr:from>
      <xdr:col>1</xdr:col>
      <xdr:colOff>28575</xdr:colOff>
      <xdr:row>0</xdr:row>
      <xdr:rowOff>609600</xdr:rowOff>
    </xdr:from>
    <xdr:ext cx="2476500" cy="5810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8</xdr:col>
      <xdr:colOff>133350</xdr:colOff>
      <xdr:row>0</xdr:row>
      <xdr:rowOff>142875</xdr:rowOff>
    </xdr:from>
    <xdr:ext cx="1752600" cy="533400"/>
    <xdr:pic>
      <xdr:nvPicPr>
        <xdr:cNvPr id="0" name="image6.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29"/>
    <col customWidth="1" min="2" max="6" width="11.57"/>
    <col customWidth="1" min="7" max="7" width="13.29"/>
    <col customWidth="1" min="8" max="13" width="11.57"/>
    <col customWidth="1" min="14" max="14" width="22.0"/>
    <col customWidth="1" min="15" max="26" width="11.57"/>
  </cols>
  <sheetData>
    <row r="1" ht="23.25" customHeight="1">
      <c r="A1" s="1"/>
      <c r="B1" s="2"/>
      <c r="C1" s="2"/>
      <c r="D1" s="2"/>
      <c r="E1" s="3"/>
      <c r="F1" s="4" t="s">
        <v>0</v>
      </c>
      <c r="G1" s="5"/>
      <c r="H1" s="5"/>
      <c r="I1" s="5"/>
      <c r="J1" s="5"/>
      <c r="K1" s="5"/>
      <c r="L1" s="5"/>
      <c r="M1" s="5"/>
      <c r="N1" s="6"/>
      <c r="O1" s="3"/>
      <c r="P1" s="3"/>
      <c r="Q1" s="3"/>
      <c r="R1" s="3"/>
      <c r="S1" s="3"/>
      <c r="T1" s="3"/>
      <c r="U1" s="3"/>
      <c r="V1" s="3"/>
      <c r="W1" s="3"/>
      <c r="X1" s="3"/>
      <c r="Y1" s="3"/>
      <c r="Z1" s="3"/>
    </row>
    <row r="2" ht="14.25" customHeight="1">
      <c r="A2" s="7"/>
      <c r="B2" s="3"/>
      <c r="C2" s="3"/>
      <c r="D2" s="3"/>
      <c r="E2" s="8"/>
      <c r="N2" s="9"/>
      <c r="O2" s="3"/>
      <c r="P2" s="3"/>
      <c r="Q2" s="3"/>
      <c r="R2" s="3"/>
      <c r="S2" s="3"/>
      <c r="T2" s="3"/>
      <c r="U2" s="3"/>
      <c r="V2" s="3"/>
      <c r="W2" s="3"/>
      <c r="X2" s="3"/>
      <c r="Y2" s="3"/>
      <c r="Z2" s="3"/>
    </row>
    <row r="3" ht="18.0" customHeight="1">
      <c r="A3" s="7"/>
      <c r="B3" s="3"/>
      <c r="C3" s="3"/>
      <c r="D3" s="3"/>
      <c r="E3" s="3"/>
      <c r="F3" s="10" t="s">
        <v>1</v>
      </c>
      <c r="N3" s="9"/>
      <c r="O3" s="3"/>
      <c r="P3" s="3"/>
      <c r="Q3" s="3"/>
      <c r="R3" s="3"/>
      <c r="S3" s="3"/>
      <c r="T3" s="3"/>
      <c r="U3" s="3"/>
      <c r="V3" s="3"/>
      <c r="W3" s="3"/>
      <c r="X3" s="3"/>
      <c r="Y3" s="3"/>
      <c r="Z3" s="3"/>
    </row>
    <row r="4" ht="14.25" customHeight="1">
      <c r="A4" s="11"/>
      <c r="B4" s="12"/>
      <c r="C4" s="12"/>
      <c r="D4" s="12"/>
      <c r="E4" s="13"/>
      <c r="F4" s="14"/>
      <c r="G4" s="14"/>
      <c r="H4" s="14"/>
      <c r="I4" s="14"/>
      <c r="J4" s="14"/>
      <c r="K4" s="14"/>
      <c r="L4" s="14"/>
      <c r="M4" s="14"/>
      <c r="N4" s="15"/>
      <c r="O4" s="3"/>
      <c r="P4" s="3"/>
      <c r="Q4" s="3"/>
      <c r="R4" s="3"/>
      <c r="S4" s="3"/>
      <c r="T4" s="3"/>
      <c r="U4" s="3"/>
      <c r="V4" s="3"/>
      <c r="W4" s="3"/>
      <c r="X4" s="3"/>
      <c r="Y4" s="3"/>
      <c r="Z4" s="3"/>
    </row>
    <row r="5" ht="13.5" customHeight="1">
      <c r="A5" s="3"/>
      <c r="B5" s="3"/>
      <c r="C5" s="3"/>
      <c r="D5" s="3"/>
      <c r="E5" s="3"/>
      <c r="F5" s="3"/>
      <c r="G5" s="3"/>
      <c r="H5" s="3"/>
      <c r="I5" s="3"/>
      <c r="J5" s="3"/>
      <c r="K5" s="3"/>
      <c r="L5" s="3"/>
      <c r="M5" s="3"/>
      <c r="N5" s="3"/>
      <c r="O5" s="3"/>
      <c r="P5" s="3"/>
      <c r="Q5" s="3"/>
      <c r="R5" s="3"/>
      <c r="S5" s="3"/>
      <c r="T5" s="3"/>
      <c r="U5" s="3"/>
      <c r="V5" s="3"/>
      <c r="W5" s="3"/>
      <c r="X5" s="3"/>
      <c r="Y5" s="3"/>
      <c r="Z5" s="3"/>
    </row>
    <row r="6" ht="18.0" customHeight="1">
      <c r="A6" s="16" t="s">
        <v>2</v>
      </c>
      <c r="B6" s="17" t="s">
        <v>3</v>
      </c>
      <c r="C6" s="18"/>
      <c r="D6" s="18"/>
      <c r="E6" s="18"/>
      <c r="F6" s="18"/>
      <c r="G6" s="18"/>
      <c r="H6" s="18"/>
      <c r="I6" s="18"/>
      <c r="J6" s="18"/>
      <c r="K6" s="18"/>
      <c r="L6" s="18"/>
      <c r="M6" s="18"/>
      <c r="N6" s="18"/>
      <c r="O6" s="3"/>
      <c r="P6" s="3"/>
      <c r="Q6" s="3"/>
      <c r="R6" s="3"/>
      <c r="S6" s="3"/>
      <c r="T6" s="3"/>
      <c r="U6" s="3"/>
      <c r="V6" s="3"/>
      <c r="W6" s="3"/>
      <c r="X6" s="3"/>
      <c r="Y6" s="3"/>
      <c r="Z6" s="3"/>
    </row>
    <row r="7" ht="13.5" customHeight="1">
      <c r="A7" s="19"/>
      <c r="B7" s="3"/>
      <c r="C7" s="3"/>
      <c r="D7" s="3"/>
      <c r="E7" s="3"/>
      <c r="F7" s="3"/>
      <c r="G7" s="3"/>
      <c r="H7" s="3"/>
      <c r="I7" s="3"/>
      <c r="J7" s="3"/>
      <c r="K7" s="3"/>
      <c r="L7" s="3"/>
      <c r="M7" s="3"/>
      <c r="N7" s="3"/>
      <c r="O7" s="3"/>
      <c r="P7" s="3"/>
      <c r="Q7" s="3"/>
      <c r="R7" s="3"/>
      <c r="S7" s="3"/>
      <c r="T7" s="3"/>
      <c r="U7" s="3"/>
      <c r="V7" s="3"/>
      <c r="W7" s="3"/>
      <c r="X7" s="3"/>
      <c r="Y7" s="3"/>
      <c r="Z7" s="3"/>
    </row>
    <row r="8" ht="24.75" customHeight="1">
      <c r="A8" s="19"/>
      <c r="B8" s="20" t="s">
        <v>4</v>
      </c>
      <c r="C8" s="3"/>
      <c r="D8" s="3"/>
      <c r="E8" s="3"/>
      <c r="F8" s="3"/>
      <c r="G8" s="3"/>
      <c r="H8" s="3"/>
      <c r="I8" s="3"/>
      <c r="J8" s="3"/>
      <c r="K8" s="3"/>
      <c r="L8" s="3"/>
      <c r="M8" s="3"/>
      <c r="N8" s="3"/>
      <c r="O8" s="3"/>
      <c r="P8" s="3"/>
      <c r="Q8" s="3"/>
      <c r="R8" s="3"/>
      <c r="S8" s="3"/>
      <c r="T8" s="3"/>
      <c r="U8" s="3"/>
      <c r="V8" s="3"/>
      <c r="W8" s="3"/>
      <c r="X8" s="3"/>
      <c r="Y8" s="3"/>
      <c r="Z8" s="3"/>
    </row>
    <row r="9" ht="24.75" customHeight="1">
      <c r="A9" s="19"/>
      <c r="B9" s="20" t="s">
        <v>5</v>
      </c>
      <c r="C9" s="20"/>
      <c r="D9" s="20"/>
      <c r="E9" s="20"/>
      <c r="F9" s="20"/>
      <c r="G9" s="20"/>
      <c r="H9" s="20"/>
      <c r="I9" s="20"/>
      <c r="J9" s="20"/>
      <c r="K9" s="20"/>
      <c r="L9" s="20"/>
      <c r="M9" s="20"/>
      <c r="N9" s="20"/>
      <c r="O9" s="20"/>
      <c r="P9" s="20"/>
      <c r="Q9" s="20"/>
      <c r="R9" s="20"/>
      <c r="S9" s="20"/>
      <c r="T9" s="20"/>
      <c r="U9" s="20"/>
      <c r="V9" s="20"/>
      <c r="W9" s="20"/>
      <c r="X9" s="20"/>
      <c r="Y9" s="20"/>
      <c r="Z9" s="20"/>
    </row>
    <row r="10" ht="18.0" customHeight="1">
      <c r="A10" s="21" t="s">
        <v>6</v>
      </c>
      <c r="B10" s="22" t="s">
        <v>7</v>
      </c>
      <c r="C10" s="20"/>
      <c r="D10" s="20"/>
      <c r="E10" s="20"/>
      <c r="F10" s="20"/>
      <c r="G10" s="20"/>
      <c r="H10" s="20"/>
      <c r="I10" s="20"/>
      <c r="J10" s="20"/>
      <c r="K10" s="20"/>
      <c r="L10" s="20"/>
      <c r="M10" s="20"/>
      <c r="N10" s="20"/>
      <c r="O10" s="20"/>
      <c r="P10" s="20"/>
      <c r="Q10" s="20"/>
      <c r="R10" s="20"/>
      <c r="S10" s="20"/>
      <c r="T10" s="20"/>
      <c r="U10" s="20"/>
      <c r="V10" s="20"/>
      <c r="W10" s="20"/>
      <c r="X10" s="20"/>
      <c r="Y10" s="20"/>
      <c r="Z10" s="20"/>
    </row>
    <row r="11" ht="18.0" customHeight="1">
      <c r="A11" s="21" t="s">
        <v>6</v>
      </c>
      <c r="B11" s="22" t="s">
        <v>8</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8.0" customHeight="1">
      <c r="A12" s="21" t="s">
        <v>6</v>
      </c>
      <c r="B12" s="22" t="s">
        <v>9</v>
      </c>
      <c r="C12" s="20"/>
      <c r="D12" s="20"/>
      <c r="E12" s="20"/>
      <c r="F12" s="20"/>
      <c r="G12" s="20"/>
      <c r="H12" s="20"/>
      <c r="I12" s="20"/>
      <c r="J12" s="20"/>
      <c r="K12" s="20"/>
      <c r="L12" s="20"/>
      <c r="M12" s="20"/>
      <c r="N12" s="20"/>
      <c r="O12" s="20"/>
      <c r="P12" s="20"/>
      <c r="Q12" s="20"/>
      <c r="R12" s="20"/>
      <c r="S12" s="20"/>
      <c r="T12" s="20"/>
      <c r="U12" s="20"/>
      <c r="V12" s="20"/>
      <c r="W12" s="20"/>
      <c r="X12" s="20"/>
      <c r="Y12" s="20"/>
      <c r="Z12" s="20"/>
    </row>
    <row r="13" ht="18.0" customHeight="1">
      <c r="A13" s="21" t="s">
        <v>6</v>
      </c>
      <c r="B13" s="22" t="s">
        <v>10</v>
      </c>
      <c r="C13" s="20"/>
      <c r="D13" s="20"/>
      <c r="E13" s="20"/>
      <c r="F13" s="20"/>
      <c r="G13" s="20"/>
      <c r="H13" s="20"/>
      <c r="I13" s="20"/>
      <c r="J13" s="20"/>
      <c r="K13" s="20"/>
      <c r="L13" s="20"/>
      <c r="M13" s="20"/>
      <c r="N13" s="20"/>
      <c r="O13" s="20"/>
      <c r="P13" s="20"/>
      <c r="Q13" s="20"/>
      <c r="R13" s="20"/>
      <c r="S13" s="20"/>
      <c r="T13" s="20"/>
      <c r="U13" s="20"/>
      <c r="V13" s="20"/>
      <c r="W13" s="20"/>
      <c r="X13" s="20"/>
      <c r="Y13" s="20"/>
      <c r="Z13" s="20"/>
    </row>
    <row r="14" ht="18.0" customHeight="1">
      <c r="A14" s="21" t="s">
        <v>6</v>
      </c>
      <c r="B14" s="22" t="s">
        <v>11</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8.0" customHeight="1">
      <c r="A15" s="21" t="s">
        <v>6</v>
      </c>
      <c r="B15" s="22" t="s">
        <v>12</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2.0" customHeight="1">
      <c r="A16" s="19"/>
      <c r="B16" s="3"/>
      <c r="C16" s="3"/>
      <c r="D16" s="3"/>
      <c r="E16" s="3"/>
      <c r="F16" s="3"/>
      <c r="G16" s="3"/>
      <c r="H16" s="3"/>
      <c r="I16" s="3"/>
      <c r="J16" s="3"/>
      <c r="K16" s="3"/>
      <c r="L16" s="3"/>
      <c r="M16" s="3"/>
      <c r="N16" s="3"/>
      <c r="O16" s="3"/>
      <c r="P16" s="3"/>
      <c r="Q16" s="3"/>
      <c r="R16" s="3"/>
      <c r="S16" s="3"/>
      <c r="T16" s="3"/>
      <c r="U16" s="3"/>
      <c r="V16" s="3"/>
      <c r="W16" s="3"/>
      <c r="X16" s="3"/>
      <c r="Y16" s="3"/>
      <c r="Z16" s="3"/>
    </row>
    <row r="17" ht="18.0" customHeight="1">
      <c r="A17" s="16" t="s">
        <v>13</v>
      </c>
      <c r="B17" s="17" t="s">
        <v>14</v>
      </c>
      <c r="C17" s="18"/>
      <c r="D17" s="18"/>
      <c r="E17" s="18"/>
      <c r="F17" s="18"/>
      <c r="G17" s="18"/>
      <c r="H17" s="18"/>
      <c r="I17" s="18"/>
      <c r="J17" s="18"/>
      <c r="K17" s="18"/>
      <c r="L17" s="18"/>
      <c r="M17" s="18"/>
      <c r="N17" s="18"/>
      <c r="O17" s="3"/>
      <c r="P17" s="3"/>
      <c r="Q17" s="3"/>
      <c r="R17" s="3"/>
      <c r="S17" s="3"/>
      <c r="T17" s="3"/>
      <c r="U17" s="3"/>
      <c r="V17" s="3"/>
      <c r="W17" s="3"/>
      <c r="X17" s="3"/>
      <c r="Y17" s="3"/>
      <c r="Z17" s="3"/>
    </row>
    <row r="18" ht="18.0" customHeight="1">
      <c r="A18" s="19"/>
      <c r="B18" s="3"/>
      <c r="C18" s="3"/>
      <c r="D18" s="3"/>
      <c r="E18" s="3"/>
      <c r="F18" s="3"/>
      <c r="G18" s="3"/>
      <c r="H18" s="3"/>
      <c r="I18" s="3"/>
      <c r="J18" s="3"/>
      <c r="K18" s="3"/>
      <c r="L18" s="3"/>
      <c r="M18" s="3"/>
      <c r="N18" s="3"/>
      <c r="O18" s="3"/>
      <c r="P18" s="3"/>
      <c r="Q18" s="3"/>
      <c r="R18" s="3"/>
      <c r="S18" s="3"/>
      <c r="T18" s="3"/>
      <c r="U18" s="3"/>
      <c r="V18" s="3"/>
      <c r="W18" s="3"/>
      <c r="X18" s="3"/>
      <c r="Y18" s="3"/>
      <c r="Z18" s="3"/>
    </row>
    <row r="19" ht="39.0" customHeight="1">
      <c r="A19" s="23" t="s">
        <v>6</v>
      </c>
      <c r="B19" s="24" t="s">
        <v>15</v>
      </c>
      <c r="O19" s="3"/>
      <c r="P19" s="3"/>
      <c r="Q19" s="3"/>
      <c r="R19" s="3"/>
      <c r="S19" s="3"/>
      <c r="T19" s="3"/>
      <c r="U19" s="3"/>
      <c r="V19" s="3"/>
      <c r="W19" s="3"/>
      <c r="X19" s="3"/>
      <c r="Y19" s="3"/>
      <c r="Z19" s="3"/>
    </row>
    <row r="20" ht="51.0" customHeight="1">
      <c r="A20" s="23" t="s">
        <v>6</v>
      </c>
      <c r="B20" s="24" t="s">
        <v>16</v>
      </c>
      <c r="O20" s="3"/>
      <c r="P20" s="3"/>
      <c r="Q20" s="3"/>
      <c r="R20" s="3"/>
      <c r="S20" s="3"/>
      <c r="T20" s="3"/>
      <c r="U20" s="3"/>
      <c r="V20" s="3"/>
      <c r="W20" s="3"/>
      <c r="X20" s="3"/>
      <c r="Y20" s="3"/>
      <c r="Z20" s="3"/>
    </row>
    <row r="21" ht="41.25" customHeight="1">
      <c r="A21" s="23" t="s">
        <v>6</v>
      </c>
      <c r="B21" s="24" t="s">
        <v>17</v>
      </c>
      <c r="O21" s="3"/>
      <c r="P21" s="3"/>
      <c r="Q21" s="3"/>
      <c r="R21" s="3"/>
      <c r="S21" s="3"/>
      <c r="T21" s="3"/>
      <c r="U21" s="3"/>
      <c r="V21" s="3"/>
      <c r="W21" s="3"/>
      <c r="X21" s="3"/>
      <c r="Y21" s="3"/>
      <c r="Z21" s="3"/>
    </row>
    <row r="22" ht="51.0" customHeight="1">
      <c r="A22" s="23" t="s">
        <v>6</v>
      </c>
      <c r="B22" s="24" t="s">
        <v>18</v>
      </c>
      <c r="O22" s="3"/>
      <c r="P22" s="3"/>
      <c r="Q22" s="3"/>
      <c r="R22" s="3"/>
      <c r="S22" s="3"/>
      <c r="T22" s="3"/>
      <c r="U22" s="3"/>
      <c r="V22" s="3"/>
      <c r="W22" s="3"/>
      <c r="X22" s="3"/>
      <c r="Y22" s="3"/>
      <c r="Z22" s="3"/>
    </row>
    <row r="23" ht="13.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6">
    <mergeCell ref="F1:N2"/>
    <mergeCell ref="F3:N4"/>
    <mergeCell ref="B19:N19"/>
    <mergeCell ref="B20:N20"/>
    <mergeCell ref="B21:N21"/>
    <mergeCell ref="B22:N22"/>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5.29"/>
    <col customWidth="1" min="2" max="2" width="34.57"/>
    <col customWidth="1" min="3" max="3" width="84.29"/>
    <col customWidth="1" min="4" max="4" width="18.71"/>
    <col customWidth="1" min="5" max="5" width="18.14"/>
    <col customWidth="1" min="6" max="6" width="18.29"/>
    <col customWidth="1" min="7" max="26" width="11.43"/>
  </cols>
  <sheetData>
    <row r="1" ht="408.0"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35.25" customHeight="1">
      <c r="A2" s="25"/>
      <c r="B2" s="26" t="s">
        <v>0</v>
      </c>
      <c r="C2" s="27"/>
      <c r="D2" s="27"/>
      <c r="E2" s="27"/>
      <c r="F2" s="28"/>
      <c r="G2" s="25"/>
      <c r="H2" s="25"/>
      <c r="I2" s="25"/>
      <c r="J2" s="25"/>
      <c r="K2" s="25"/>
      <c r="L2" s="25"/>
      <c r="M2" s="25"/>
      <c r="N2" s="25"/>
      <c r="O2" s="25"/>
      <c r="P2" s="25"/>
      <c r="Q2" s="25"/>
      <c r="R2" s="25"/>
      <c r="S2" s="25"/>
      <c r="T2" s="25"/>
      <c r="U2" s="25"/>
      <c r="V2" s="25"/>
      <c r="W2" s="25"/>
      <c r="X2" s="25"/>
      <c r="Y2" s="25"/>
      <c r="Z2" s="25"/>
    </row>
    <row r="3" ht="21.75" customHeight="1">
      <c r="A3" s="25"/>
      <c r="B3" s="29" t="s">
        <v>19</v>
      </c>
      <c r="C3" s="29" t="s">
        <v>20</v>
      </c>
      <c r="D3" s="29" t="s">
        <v>21</v>
      </c>
      <c r="E3" s="29" t="s">
        <v>22</v>
      </c>
      <c r="F3" s="29" t="s">
        <v>23</v>
      </c>
      <c r="G3" s="25"/>
      <c r="H3" s="25"/>
      <c r="I3" s="25"/>
      <c r="J3" s="25"/>
      <c r="K3" s="25"/>
      <c r="L3" s="25"/>
      <c r="M3" s="25"/>
      <c r="N3" s="25"/>
      <c r="O3" s="25"/>
      <c r="P3" s="25"/>
      <c r="Q3" s="25"/>
      <c r="R3" s="25"/>
      <c r="S3" s="25"/>
      <c r="T3" s="25"/>
      <c r="U3" s="25"/>
      <c r="V3" s="25"/>
      <c r="W3" s="25"/>
      <c r="X3" s="25"/>
      <c r="Y3" s="25"/>
      <c r="Z3" s="25"/>
    </row>
    <row r="4" ht="26.25" customHeight="1">
      <c r="A4" s="25"/>
      <c r="B4" s="30" t="s">
        <v>24</v>
      </c>
      <c r="C4" s="31" t="s">
        <v>25</v>
      </c>
      <c r="D4" s="32">
        <v>2.0</v>
      </c>
      <c r="E4" s="32">
        <v>3.0</v>
      </c>
      <c r="F4" s="32">
        <f t="shared" ref="F4:F9" si="1">D4*E4</f>
        <v>6</v>
      </c>
      <c r="G4" s="25"/>
      <c r="H4" s="25"/>
      <c r="I4" s="25"/>
      <c r="J4" s="25"/>
      <c r="K4" s="25"/>
      <c r="L4" s="25"/>
      <c r="M4" s="25"/>
      <c r="N4" s="25"/>
      <c r="O4" s="25"/>
      <c r="P4" s="25"/>
      <c r="Q4" s="25"/>
      <c r="R4" s="25"/>
      <c r="S4" s="25"/>
      <c r="T4" s="25"/>
      <c r="U4" s="25"/>
      <c r="V4" s="25"/>
      <c r="W4" s="25"/>
      <c r="X4" s="25"/>
      <c r="Y4" s="25"/>
      <c r="Z4" s="25"/>
    </row>
    <row r="5" ht="26.25" customHeight="1">
      <c r="A5" s="25"/>
      <c r="B5" s="30" t="s">
        <v>24</v>
      </c>
      <c r="C5" s="31" t="s">
        <v>26</v>
      </c>
      <c r="D5" s="32">
        <v>1.0</v>
      </c>
      <c r="E5" s="32">
        <v>3.0</v>
      </c>
      <c r="F5" s="32">
        <f t="shared" si="1"/>
        <v>3</v>
      </c>
      <c r="G5" s="25"/>
      <c r="H5" s="25"/>
      <c r="I5" s="25"/>
      <c r="J5" s="25"/>
      <c r="K5" s="25"/>
      <c r="L5" s="25"/>
      <c r="M5" s="25"/>
      <c r="N5" s="25"/>
      <c r="O5" s="25"/>
      <c r="P5" s="25"/>
      <c r="Q5" s="25"/>
      <c r="R5" s="25"/>
      <c r="S5" s="25"/>
      <c r="T5" s="25"/>
      <c r="U5" s="25"/>
      <c r="V5" s="25"/>
      <c r="W5" s="25"/>
      <c r="X5" s="25"/>
      <c r="Y5" s="25"/>
      <c r="Z5" s="25"/>
    </row>
    <row r="6" ht="26.25" customHeight="1">
      <c r="A6" s="25"/>
      <c r="B6" s="30" t="s">
        <v>27</v>
      </c>
      <c r="C6" s="31" t="s">
        <v>28</v>
      </c>
      <c r="D6" s="32">
        <v>1.0</v>
      </c>
      <c r="E6" s="32">
        <v>2.0</v>
      </c>
      <c r="F6" s="32">
        <f t="shared" si="1"/>
        <v>2</v>
      </c>
      <c r="G6" s="25"/>
      <c r="H6" s="25"/>
      <c r="I6" s="25"/>
      <c r="J6" s="25"/>
      <c r="K6" s="25"/>
      <c r="L6" s="25"/>
      <c r="M6" s="25"/>
      <c r="N6" s="25"/>
      <c r="O6" s="25"/>
      <c r="P6" s="25"/>
      <c r="Q6" s="25"/>
      <c r="R6" s="25"/>
      <c r="S6" s="25"/>
      <c r="T6" s="25"/>
      <c r="U6" s="25"/>
      <c r="V6" s="25"/>
      <c r="W6" s="25"/>
      <c r="X6" s="25"/>
      <c r="Y6" s="25"/>
      <c r="Z6" s="25"/>
    </row>
    <row r="7" ht="26.25" customHeight="1">
      <c r="A7" s="25"/>
      <c r="B7" s="30" t="s">
        <v>27</v>
      </c>
      <c r="C7" s="31" t="s">
        <v>29</v>
      </c>
      <c r="D7" s="32">
        <v>2.0</v>
      </c>
      <c r="E7" s="32">
        <v>1.0</v>
      </c>
      <c r="F7" s="32">
        <f t="shared" si="1"/>
        <v>2</v>
      </c>
      <c r="G7" s="25"/>
      <c r="H7" s="25"/>
      <c r="I7" s="25"/>
      <c r="J7" s="25"/>
      <c r="K7" s="25"/>
      <c r="L7" s="25"/>
      <c r="M7" s="25"/>
      <c r="N7" s="25"/>
      <c r="O7" s="25"/>
      <c r="P7" s="25"/>
      <c r="Q7" s="25"/>
      <c r="R7" s="25"/>
      <c r="S7" s="25"/>
      <c r="T7" s="25"/>
      <c r="U7" s="25"/>
      <c r="V7" s="25"/>
      <c r="W7" s="25"/>
      <c r="X7" s="25"/>
      <c r="Y7" s="25"/>
      <c r="Z7" s="25"/>
    </row>
    <row r="8" ht="26.25" customHeight="1">
      <c r="A8" s="25"/>
      <c r="B8" s="30" t="s">
        <v>30</v>
      </c>
      <c r="C8" s="31" t="s">
        <v>29</v>
      </c>
      <c r="D8" s="32">
        <v>3.0</v>
      </c>
      <c r="E8" s="32">
        <v>2.0</v>
      </c>
      <c r="F8" s="32">
        <f t="shared" si="1"/>
        <v>6</v>
      </c>
      <c r="G8" s="25"/>
      <c r="H8" s="25"/>
      <c r="I8" s="25"/>
      <c r="J8" s="25"/>
      <c r="K8" s="25"/>
      <c r="L8" s="25"/>
      <c r="M8" s="25"/>
      <c r="N8" s="25"/>
      <c r="O8" s="25"/>
      <c r="P8" s="25"/>
      <c r="Q8" s="25"/>
      <c r="R8" s="25"/>
      <c r="S8" s="25"/>
      <c r="T8" s="25"/>
      <c r="U8" s="25"/>
      <c r="V8" s="25"/>
      <c r="W8" s="25"/>
      <c r="X8" s="25"/>
      <c r="Y8" s="25"/>
      <c r="Z8" s="25"/>
    </row>
    <row r="9" ht="26.25" customHeight="1">
      <c r="A9" s="25"/>
      <c r="B9" s="30" t="s">
        <v>30</v>
      </c>
      <c r="C9" s="31" t="s">
        <v>31</v>
      </c>
      <c r="D9" s="32">
        <v>1.0</v>
      </c>
      <c r="E9" s="32">
        <v>2.0</v>
      </c>
      <c r="F9" s="32">
        <f t="shared" si="1"/>
        <v>2</v>
      </c>
      <c r="G9" s="25"/>
      <c r="H9" s="25"/>
      <c r="I9" s="25"/>
      <c r="J9" s="25"/>
      <c r="K9" s="25"/>
      <c r="L9" s="25"/>
      <c r="M9" s="25"/>
      <c r="N9" s="25"/>
      <c r="O9" s="25"/>
      <c r="P9" s="25"/>
      <c r="Q9" s="25"/>
      <c r="R9" s="25"/>
      <c r="S9" s="25"/>
      <c r="T9" s="25"/>
      <c r="U9" s="25"/>
      <c r="V9" s="25"/>
      <c r="W9" s="25"/>
      <c r="X9" s="25"/>
      <c r="Y9" s="25"/>
      <c r="Z9" s="25"/>
    </row>
    <row r="10" ht="26.25" customHeight="1">
      <c r="A10" s="25"/>
      <c r="B10" s="30" t="s">
        <v>32</v>
      </c>
      <c r="C10" s="31"/>
      <c r="D10" s="30"/>
      <c r="E10" s="30"/>
      <c r="F10" s="32"/>
      <c r="G10" s="25"/>
      <c r="H10" s="25"/>
      <c r="I10" s="25"/>
      <c r="J10" s="25"/>
      <c r="K10" s="25"/>
      <c r="L10" s="25"/>
      <c r="M10" s="25"/>
      <c r="N10" s="25"/>
      <c r="O10" s="25"/>
      <c r="P10" s="25"/>
      <c r="Q10" s="25"/>
      <c r="R10" s="25"/>
      <c r="S10" s="25"/>
      <c r="T10" s="25"/>
      <c r="U10" s="25"/>
      <c r="V10" s="25"/>
      <c r="W10" s="25"/>
      <c r="X10" s="25"/>
      <c r="Y10" s="25"/>
      <c r="Z10" s="25"/>
    </row>
    <row r="11" ht="26.25" customHeight="1">
      <c r="A11" s="25"/>
      <c r="B11" s="30"/>
      <c r="C11" s="30"/>
      <c r="D11" s="30"/>
      <c r="E11" s="30"/>
      <c r="F11" s="32"/>
      <c r="G11" s="25"/>
      <c r="H11" s="25"/>
      <c r="I11" s="25"/>
      <c r="J11" s="25"/>
      <c r="K11" s="25"/>
      <c r="L11" s="25"/>
      <c r="M11" s="25"/>
      <c r="N11" s="25"/>
      <c r="O11" s="25"/>
      <c r="P11" s="25"/>
      <c r="Q11" s="25"/>
      <c r="R11" s="25"/>
      <c r="S11" s="25"/>
      <c r="T11" s="25"/>
      <c r="U11" s="25"/>
      <c r="V11" s="25"/>
      <c r="W11" s="25"/>
      <c r="X11" s="25"/>
      <c r="Y11" s="25"/>
      <c r="Z11" s="25"/>
    </row>
    <row r="12" ht="26.25" customHeight="1">
      <c r="A12" s="25"/>
      <c r="B12" s="30"/>
      <c r="C12" s="33" t="s">
        <v>33</v>
      </c>
      <c r="D12" s="30"/>
      <c r="E12" s="30"/>
      <c r="F12" s="32"/>
      <c r="G12" s="25"/>
      <c r="H12" s="25"/>
      <c r="I12" s="25"/>
      <c r="J12" s="25"/>
      <c r="K12" s="25"/>
      <c r="L12" s="25"/>
      <c r="M12" s="25"/>
      <c r="N12" s="25"/>
      <c r="O12" s="25"/>
      <c r="P12" s="25"/>
      <c r="Q12" s="25"/>
      <c r="R12" s="25"/>
      <c r="S12" s="25"/>
      <c r="T12" s="25"/>
      <c r="U12" s="25"/>
      <c r="V12" s="25"/>
      <c r="W12" s="25"/>
      <c r="X12" s="25"/>
      <c r="Y12" s="25"/>
      <c r="Z12" s="25"/>
    </row>
    <row r="13" ht="21.75"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1.75" customHeight="1">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row>
    <row r="15" ht="21.75" customHeight="1">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row>
    <row r="16" ht="21.75" customHeight="1">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row>
    <row r="17" ht="21.75" customHeight="1">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row>
    <row r="18" ht="21.75" customHeight="1">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21.7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1.7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21.7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21.7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21.7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21.7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21.7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21.7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21.7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21.7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21.7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21.7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21.7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21.7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21.7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21.7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21.7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21.7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21.7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21.7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21.7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21.7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21.7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21.7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21.7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21.7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21.7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21.7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21.7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21.7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21.7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21.7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21.7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21.7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21.7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21.7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21.7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21.7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21.7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21.7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21.7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21.7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21.7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21.7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21.7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21.7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21.7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21.7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21.7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21.7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21.7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21.7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21.7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21.7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21.7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21.7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21.7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21.7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21.7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21.7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21.7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21.7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21.7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21.7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21.7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21.7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21.7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21.7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21.7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21.7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21.7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21.7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21.7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21.7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21.7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21.7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21.7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21.7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21.7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21.7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21.7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21.7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21.7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21.7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21.7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21.7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21.7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21.7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21.7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21.7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21.7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21.7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21.7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21.7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21.7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21.7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21.7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21.7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21.7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21.7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21.7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21.7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21.7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21.7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21.7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21.7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21.7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21.7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21.7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21.7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21.7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21.7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21.7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21.7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21.7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21.7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21.7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21.7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21.7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21.7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21.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21.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21.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21.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21.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21.7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21.7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21.7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21.7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21.7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21.7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21.7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21.7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21.7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21.7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21.7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21.7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21.7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21.7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21.7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21.7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21.7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21.7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21.7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21.7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21.7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21.7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21.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21.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21.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21.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21.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21.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21.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21.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21.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21.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21.7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21.7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21.7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21.7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21.7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21.7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21.7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21.7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21.7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21.7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21.7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21.7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21.7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21.7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21.7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21.7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21.7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21.7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21.7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21.7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21.7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21.7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21.7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21.7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21.7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21.7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21.7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21.7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21.7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21.7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21.7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21.7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21.7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21.7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21.7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21.7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21.7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21.7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21.7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21.7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21.7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21.7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21.7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21.7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21.7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21.7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21.7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21.7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21.7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21.7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21.7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21.7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21.7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21.7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21.7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21.7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21.7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21.7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21.7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21.7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21.7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21.7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21.7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21.7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21.7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21.7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21.7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21.7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21.7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21.7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21.7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21.7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21.7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21.7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21.7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21.7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21.7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21.7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21.7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21.7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21.7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21.7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21.7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21.7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21.7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21.7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21.7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21.7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21.7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21.7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21.7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21.7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21.7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21.7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21.7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21.7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21.7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21.7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21.7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21.7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21.7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21.7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21.7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21.7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21.7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21.7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21.7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21.7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21.7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21.7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21.7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21.7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21.7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21.7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21.7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21.7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21.7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21.7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21.7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21.7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21.7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21.7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21.7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21.7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21.7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21.7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21.7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21.7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21.7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21.7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21.7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21.7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21.7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21.7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21.7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21.7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21.7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21.7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21.7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21.7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21.7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21.7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21.7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21.7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21.7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21.7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21.7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21.7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21.7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21.7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21.7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21.7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21.7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21.7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21.7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21.7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21.7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21.7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21.7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21.7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21.7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21.7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21.7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21.7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21.7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21.7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21.7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21.7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21.7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21.7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21.7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21.7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21.7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21.7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21.7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21.7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21.7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21.7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21.7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21.7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21.7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21.7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21.7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21.7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21.7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21.7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21.7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21.7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21.7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21.7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21.7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21.7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21.7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21.7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21.7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21.7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21.7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21.7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21.7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21.7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21.7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21.7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21.7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21.7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21.7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21.7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21.7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21.7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21.7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21.7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21.7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21.7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21.7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21.7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21.7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21.7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21.7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21.7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21.7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21.7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21.7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21.7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21.7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21.7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21.7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21.7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21.7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21.7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21.7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21.7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21.7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21.7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21.7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21.7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21.7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21.7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21.7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21.7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21.7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21.7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21.7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21.7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21.7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21.7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21.7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21.7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21.7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21.7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21.7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21.7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21.7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21.7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21.7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21.7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21.7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21.7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21.7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21.7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21.7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21.7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21.7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21.7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21.7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21.7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21.7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21.7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21.7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21.7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21.7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21.7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21.7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21.7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21.7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21.7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21.7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21.7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21.7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21.7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21.7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21.7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21.7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21.7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21.7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21.7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21.7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21.7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21.7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21.7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21.7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21.7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21.7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21.7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21.7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21.7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21.7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21.7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21.7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21.7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21.7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21.7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21.7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21.7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21.7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21.7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21.7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21.7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21.7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21.7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21.7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21.7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21.7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21.7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21.7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21.7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21.7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21.7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21.7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21.7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21.7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21.7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21.7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21.7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21.7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21.7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21.7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21.7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21.7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21.7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21.7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21.7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21.7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21.7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21.7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21.7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21.7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21.7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21.7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21.7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21.7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21.7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21.7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21.7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21.7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21.7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21.7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21.7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21.7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21.7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21.7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21.7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21.7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21.7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21.7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21.7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21.7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21.7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21.7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21.7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21.7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21.7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21.7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21.7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21.7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21.7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21.7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21.7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21.7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21.7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21.7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21.7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21.7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21.7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21.7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21.7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21.7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21.7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21.7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21.7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21.7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21.7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21.7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21.7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21.7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21.7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21.7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21.7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21.7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21.7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21.7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21.7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21.7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21.7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21.7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21.7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21.7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21.7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21.7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21.7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21.7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21.7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21.7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21.7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21.7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21.7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21.7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21.7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21.7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21.7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21.7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21.7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21.7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21.7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21.7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21.7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21.7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21.7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21.7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21.7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21.7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21.7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21.7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21.7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21.7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21.7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21.7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21.7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21.7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21.7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21.7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21.7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21.7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21.7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21.7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21.7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21.7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21.7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21.7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21.7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21.7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21.7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21.7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21.7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21.7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21.7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21.7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21.7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21.7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21.7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21.7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21.7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21.7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21.7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21.7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21.7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21.7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21.7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21.7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21.7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21.7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21.7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21.7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21.7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21.7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21.7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21.7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21.7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21.7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21.7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21.7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21.7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21.7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21.7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21.7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21.7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21.7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21.7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21.7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21.7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21.7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21.7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21.7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21.7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21.7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21.7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21.7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21.7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21.7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21.7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21.7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21.7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21.7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21.7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21.7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21.7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21.7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21.7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21.7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21.7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21.7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21.7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21.7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21.7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21.7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21.7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21.7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21.7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21.7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21.7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21.7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21.7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21.7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21.7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21.7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21.7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21.7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21.7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21.7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21.7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21.7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21.7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21.7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21.7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21.7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21.7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21.7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21.7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21.7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21.7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21.7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21.7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21.7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21.7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21.7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21.7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21.7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21.7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21.7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21.7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21.7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21.7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21.7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21.7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21.7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21.7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21.7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21.7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21.7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21.7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21.7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21.7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21.7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21.7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21.7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21.7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21.7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21.7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21.7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21.7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21.7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21.7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21.7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21.7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21.7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21.7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21.7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21.7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21.7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21.7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21.7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21.7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21.7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21.7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21.7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21.7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21.7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21.7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21.7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21.7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21.7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21.7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21.7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21.7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21.7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21.7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21.7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21.7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21.7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21.7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21.7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21.7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21.7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21.7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21.7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21.7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21.7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21.7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21.7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21.7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21.7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21.7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21.7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21.7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21.7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21.7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21.7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21.7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21.7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21.7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21.7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21.7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21.7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21.7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21.7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21.7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21.7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21.7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21.7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21.7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21.7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21.7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21.7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21.7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21.7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21.7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21.7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21.7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21.7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21.7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21.7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21.7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21.7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21.7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21.7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21.7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21.7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21.7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21.7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21.7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21.7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21.7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21.7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21.7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21.7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21.7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21.7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21.7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21.7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21.7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21.7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21.7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21.7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21.7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21.7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21.7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21.7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21.7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21.7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21.7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21.7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21.7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21.7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21.7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21.7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21.7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21.7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21.7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21.7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21.7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21.7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21.7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21.7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21.7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21.7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21.7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21.7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21.7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21.7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21.7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21.7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21.7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21.7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21.7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21.7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21.7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21.7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21.7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21.7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21.7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21.7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21.7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21.7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21.7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21.7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21.7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21.7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21.7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21.7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21.7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21.7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21.7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21.7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21.7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21.7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21.7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21.7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21.7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21.7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21.7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21.7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21.7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21.7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21.7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21.7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21.7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21.7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21.7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21.7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21.7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21.7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21.7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21.7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21.7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21.7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21.7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21.7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21.7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21.7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21.7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21.7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21.7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21.7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21.7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21.7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21.7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21.7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21.7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21.7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21.7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21.7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21.7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21.7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21.7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21.7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21.7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21.7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21.7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21.7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21.7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21.7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21.7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21.7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21.7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21.7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21.7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21.7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21.7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21.7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21.7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21.7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21.7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21.7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21.7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21.7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21.7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21.7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21.7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21.7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21.7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21.7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21.7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21.7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21.7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21.7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21.7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21.7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21.7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21.7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21.7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21.7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21.7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21.7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21.7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21.7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21.7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21.7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21.7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21.7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21.7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21.7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21.7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21.7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21.7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21.7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21.7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21.7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21.7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21.7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21.7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21.7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21.7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21.7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21.7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21.7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21.7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21.7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21.7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21.7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21.7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21.7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21.7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21.7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21.7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21.7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21.7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21.7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21.7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21.7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21.7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21.7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21.7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21.7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21.7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21.7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21.7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21.7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1">
    <mergeCell ref="B2:F2"/>
  </mergeCells>
  <conditionalFormatting sqref="F4:F12">
    <cfRule type="colorScale" priority="1">
      <colorScale>
        <cfvo type="min"/>
        <cfvo type="percentile" val="50"/>
        <cfvo type="max"/>
        <color rgb="FFF8696B"/>
        <color rgb="FFFFEB84"/>
        <color rgb="FF63BE7B"/>
      </colorScale>
    </cfRule>
  </conditionalFormatting>
  <conditionalFormatting sqref="F4:F9">
    <cfRule type="colorScale" priority="2">
      <colorScale>
        <cfvo type="min"/>
        <cfvo type="percentile" val="50"/>
        <cfvo type="max"/>
        <color rgb="FF63BE7B"/>
        <color rgb="FFFFEB84"/>
        <color rgb="FFF8696B"/>
      </colorScale>
    </cfRule>
  </conditionalFormatting>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4.43" defaultRowHeight="15.0"/>
  <cols>
    <col customWidth="1" min="1" max="1" width="7.43"/>
    <col customWidth="1" min="2" max="2" width="16.14"/>
    <col customWidth="1" min="3" max="3" width="149.86"/>
    <col customWidth="1" min="4" max="5" width="11.43"/>
    <col customWidth="1" min="6" max="6" width="16.71"/>
    <col customWidth="1" min="7" max="26" width="11.43"/>
  </cols>
  <sheetData>
    <row r="1" ht="174.75"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27.0" customHeight="1">
      <c r="A2" s="25"/>
      <c r="B2" s="34" t="s">
        <v>34</v>
      </c>
      <c r="C2" s="28"/>
      <c r="D2" s="25"/>
      <c r="E2" s="25"/>
      <c r="F2" s="25"/>
      <c r="G2" s="25"/>
      <c r="H2" s="25"/>
      <c r="I2" s="25"/>
      <c r="J2" s="25"/>
      <c r="K2" s="25"/>
      <c r="L2" s="25"/>
      <c r="M2" s="25"/>
      <c r="N2" s="25"/>
      <c r="O2" s="25"/>
      <c r="P2" s="25"/>
      <c r="Q2" s="25"/>
      <c r="R2" s="25"/>
      <c r="S2" s="25"/>
      <c r="T2" s="25"/>
      <c r="U2" s="25"/>
      <c r="V2" s="25"/>
      <c r="W2" s="25"/>
      <c r="X2" s="25"/>
      <c r="Y2" s="25"/>
      <c r="Z2" s="25"/>
    </row>
    <row r="3" ht="27.0" customHeight="1">
      <c r="A3" s="25"/>
      <c r="B3" s="29" t="s">
        <v>35</v>
      </c>
      <c r="C3" s="29" t="s">
        <v>36</v>
      </c>
      <c r="D3" s="25"/>
      <c r="E3" s="25"/>
      <c r="F3" s="25"/>
      <c r="G3" s="25"/>
      <c r="H3" s="25"/>
      <c r="I3" s="25"/>
      <c r="J3" s="25"/>
      <c r="K3" s="25"/>
      <c r="L3" s="25"/>
      <c r="M3" s="25"/>
      <c r="N3" s="25"/>
      <c r="O3" s="25"/>
      <c r="P3" s="25"/>
      <c r="Q3" s="25"/>
      <c r="R3" s="25"/>
      <c r="S3" s="25"/>
      <c r="T3" s="25"/>
      <c r="U3" s="25"/>
      <c r="V3" s="25"/>
      <c r="W3" s="25"/>
      <c r="X3" s="25"/>
      <c r="Y3" s="25"/>
      <c r="Z3" s="25"/>
    </row>
    <row r="4" ht="27.0" customHeight="1">
      <c r="A4" s="25"/>
      <c r="B4" s="35" t="s">
        <v>37</v>
      </c>
      <c r="C4" s="36" t="s">
        <v>38</v>
      </c>
      <c r="D4" s="25"/>
      <c r="E4" s="25"/>
      <c r="F4" s="25"/>
      <c r="G4" s="25"/>
      <c r="H4" s="25"/>
      <c r="I4" s="25"/>
      <c r="J4" s="25"/>
      <c r="K4" s="25"/>
      <c r="L4" s="25"/>
      <c r="M4" s="25"/>
      <c r="N4" s="25"/>
      <c r="O4" s="25"/>
      <c r="P4" s="25"/>
      <c r="Q4" s="25"/>
      <c r="R4" s="25"/>
      <c r="S4" s="25"/>
      <c r="T4" s="25"/>
      <c r="U4" s="25"/>
      <c r="V4" s="25"/>
      <c r="W4" s="25"/>
      <c r="X4" s="25"/>
      <c r="Y4" s="25"/>
      <c r="Z4" s="25"/>
    </row>
    <row r="5" ht="27.0" customHeight="1">
      <c r="A5" s="25"/>
      <c r="B5" s="35" t="s">
        <v>39</v>
      </c>
      <c r="C5" s="36" t="s">
        <v>40</v>
      </c>
      <c r="D5" s="25"/>
      <c r="E5" s="25"/>
      <c r="F5" s="25"/>
      <c r="G5" s="25"/>
      <c r="H5" s="25"/>
      <c r="I5" s="25"/>
      <c r="J5" s="25"/>
      <c r="K5" s="25"/>
      <c r="L5" s="25"/>
      <c r="M5" s="25"/>
      <c r="N5" s="25"/>
      <c r="O5" s="25"/>
      <c r="P5" s="25"/>
      <c r="Q5" s="25"/>
      <c r="R5" s="25"/>
      <c r="S5" s="25"/>
      <c r="T5" s="25"/>
      <c r="U5" s="25"/>
      <c r="V5" s="25"/>
      <c r="W5" s="25"/>
      <c r="X5" s="25"/>
      <c r="Y5" s="25"/>
      <c r="Z5" s="25"/>
    </row>
    <row r="6" ht="27.0" customHeight="1">
      <c r="A6" s="25"/>
      <c r="B6" s="35" t="s">
        <v>41</v>
      </c>
      <c r="C6" s="36" t="s">
        <v>42</v>
      </c>
      <c r="D6" s="25"/>
      <c r="E6" s="25"/>
      <c r="F6" s="25"/>
      <c r="G6" s="25"/>
      <c r="H6" s="25"/>
      <c r="I6" s="25"/>
      <c r="J6" s="25"/>
      <c r="K6" s="25"/>
      <c r="L6" s="25"/>
      <c r="M6" s="25"/>
      <c r="N6" s="25"/>
      <c r="O6" s="25"/>
      <c r="P6" s="25"/>
      <c r="Q6" s="25"/>
      <c r="R6" s="25"/>
      <c r="S6" s="25"/>
      <c r="T6" s="25"/>
      <c r="U6" s="25"/>
      <c r="V6" s="25"/>
      <c r="W6" s="25"/>
      <c r="X6" s="25"/>
      <c r="Y6" s="25"/>
      <c r="Z6" s="25"/>
    </row>
    <row r="7" ht="27.0" customHeight="1">
      <c r="A7" s="25"/>
      <c r="B7" s="25"/>
      <c r="C7" s="25"/>
      <c r="D7" s="25"/>
      <c r="E7" s="25"/>
      <c r="F7" s="25"/>
      <c r="G7" s="25"/>
      <c r="H7" s="25"/>
      <c r="I7" s="25"/>
      <c r="J7" s="25"/>
      <c r="K7" s="25"/>
      <c r="L7" s="25"/>
      <c r="M7" s="25"/>
      <c r="N7" s="25"/>
      <c r="O7" s="25"/>
      <c r="P7" s="25"/>
      <c r="Q7" s="25"/>
      <c r="R7" s="25"/>
      <c r="S7" s="25"/>
      <c r="T7" s="25"/>
      <c r="U7" s="25"/>
      <c r="V7" s="25"/>
      <c r="W7" s="25"/>
      <c r="X7" s="25"/>
      <c r="Y7" s="25"/>
      <c r="Z7" s="25"/>
    </row>
    <row r="8" ht="27.0" customHeight="1">
      <c r="A8" s="25"/>
      <c r="B8" s="34" t="s">
        <v>43</v>
      </c>
      <c r="C8" s="28"/>
      <c r="D8" s="25"/>
      <c r="E8" s="25"/>
      <c r="F8" s="25"/>
      <c r="G8" s="25"/>
      <c r="H8" s="25"/>
      <c r="I8" s="25"/>
      <c r="J8" s="25"/>
      <c r="K8" s="25"/>
      <c r="L8" s="25"/>
      <c r="M8" s="25"/>
      <c r="N8" s="25"/>
      <c r="O8" s="25"/>
      <c r="P8" s="25"/>
      <c r="Q8" s="25"/>
      <c r="R8" s="25"/>
      <c r="S8" s="25"/>
      <c r="T8" s="25"/>
      <c r="U8" s="25"/>
      <c r="V8" s="25"/>
      <c r="W8" s="25"/>
      <c r="X8" s="25"/>
      <c r="Y8" s="25"/>
      <c r="Z8" s="25"/>
    </row>
    <row r="9" ht="27.0" customHeight="1">
      <c r="A9" s="25"/>
      <c r="B9" s="29" t="s">
        <v>35</v>
      </c>
      <c r="C9" s="29" t="s">
        <v>36</v>
      </c>
      <c r="D9" s="25"/>
      <c r="E9" s="25" t="s">
        <v>44</v>
      </c>
      <c r="F9" s="25"/>
      <c r="G9" s="25"/>
      <c r="H9" s="25"/>
      <c r="I9" s="25"/>
      <c r="J9" s="25"/>
      <c r="K9" s="25"/>
      <c r="L9" s="25"/>
      <c r="M9" s="25"/>
      <c r="N9" s="25"/>
      <c r="O9" s="25"/>
      <c r="P9" s="25"/>
      <c r="Q9" s="25"/>
      <c r="R9" s="25"/>
      <c r="S9" s="25"/>
      <c r="T9" s="25"/>
      <c r="U9" s="25"/>
      <c r="V9" s="25"/>
      <c r="W9" s="25"/>
      <c r="X9" s="25"/>
      <c r="Y9" s="25"/>
      <c r="Z9" s="25"/>
    </row>
    <row r="10" ht="27.0" customHeight="1">
      <c r="A10" s="25"/>
      <c r="B10" s="35" t="s">
        <v>37</v>
      </c>
      <c r="C10" s="37" t="s">
        <v>45</v>
      </c>
      <c r="D10" s="25"/>
      <c r="E10" s="25"/>
      <c r="F10" s="25"/>
      <c r="G10" s="25"/>
      <c r="H10" s="25"/>
      <c r="I10" s="25"/>
      <c r="J10" s="25"/>
      <c r="K10" s="25"/>
      <c r="L10" s="25"/>
      <c r="M10" s="25"/>
      <c r="N10" s="25"/>
      <c r="O10" s="25"/>
      <c r="P10" s="25"/>
      <c r="Q10" s="25"/>
      <c r="R10" s="25"/>
      <c r="S10" s="25"/>
      <c r="T10" s="25"/>
      <c r="U10" s="25"/>
      <c r="V10" s="25"/>
      <c r="W10" s="25"/>
      <c r="X10" s="25"/>
      <c r="Y10" s="25"/>
      <c r="Z10" s="25"/>
    </row>
    <row r="11" ht="27.0" customHeight="1">
      <c r="A11" s="25"/>
      <c r="B11" s="35" t="s">
        <v>39</v>
      </c>
      <c r="C11" s="37" t="s">
        <v>46</v>
      </c>
      <c r="D11" s="25"/>
      <c r="E11" s="25"/>
      <c r="F11" s="25"/>
      <c r="G11" s="25"/>
      <c r="H11" s="25"/>
      <c r="I11" s="25"/>
      <c r="J11" s="25"/>
      <c r="K11" s="25"/>
      <c r="L11" s="25"/>
      <c r="M11" s="25"/>
      <c r="N11" s="25"/>
      <c r="O11" s="25"/>
      <c r="P11" s="25"/>
      <c r="Q11" s="25"/>
      <c r="R11" s="25"/>
      <c r="S11" s="25"/>
      <c r="T11" s="25"/>
      <c r="U11" s="25"/>
      <c r="V11" s="25"/>
      <c r="W11" s="25"/>
      <c r="X11" s="25"/>
      <c r="Y11" s="25"/>
      <c r="Z11" s="25"/>
    </row>
    <row r="12" ht="27.0" customHeight="1">
      <c r="A12" s="25"/>
      <c r="B12" s="35" t="s">
        <v>41</v>
      </c>
      <c r="C12" s="37" t="s">
        <v>47</v>
      </c>
      <c r="D12" s="25"/>
      <c r="E12" s="25"/>
      <c r="F12" s="25"/>
      <c r="G12" s="25"/>
      <c r="H12" s="25"/>
      <c r="I12" s="25"/>
      <c r="J12" s="25"/>
      <c r="K12" s="25"/>
      <c r="L12" s="25"/>
      <c r="M12" s="25"/>
      <c r="N12" s="25"/>
      <c r="O12" s="25"/>
      <c r="P12" s="25"/>
      <c r="Q12" s="25"/>
      <c r="R12" s="25"/>
      <c r="S12" s="25"/>
      <c r="T12" s="25"/>
      <c r="U12" s="25"/>
      <c r="V12" s="25"/>
      <c r="W12" s="25"/>
      <c r="X12" s="25"/>
      <c r="Y12" s="25"/>
      <c r="Z12" s="25"/>
    </row>
    <row r="13" ht="27.0" customHeight="1">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ht="27.0" customHeight="1">
      <c r="A14" s="25"/>
      <c r="B14" s="34" t="s">
        <v>48</v>
      </c>
      <c r="C14" s="28"/>
      <c r="D14" s="25"/>
      <c r="E14" s="25"/>
      <c r="F14" s="25"/>
      <c r="G14" s="25"/>
      <c r="H14" s="25"/>
      <c r="I14" s="25"/>
      <c r="J14" s="25"/>
      <c r="K14" s="25"/>
      <c r="L14" s="25"/>
      <c r="M14" s="25"/>
      <c r="N14" s="25"/>
      <c r="O14" s="25"/>
      <c r="P14" s="25"/>
      <c r="Q14" s="25"/>
      <c r="R14" s="25"/>
      <c r="S14" s="25"/>
      <c r="T14" s="25"/>
      <c r="U14" s="25"/>
      <c r="V14" s="25"/>
      <c r="W14" s="25"/>
      <c r="X14" s="25"/>
      <c r="Y14" s="25"/>
      <c r="Z14" s="25"/>
    </row>
    <row r="15" ht="27.0" customHeight="1">
      <c r="A15" s="25"/>
      <c r="B15" s="29" t="s">
        <v>49</v>
      </c>
      <c r="C15" s="29" t="s">
        <v>36</v>
      </c>
      <c r="D15" s="25"/>
      <c r="E15" s="25"/>
      <c r="F15" s="25"/>
      <c r="G15" s="25"/>
      <c r="H15" s="25"/>
      <c r="I15" s="25"/>
      <c r="J15" s="25"/>
      <c r="K15" s="25"/>
      <c r="L15" s="25"/>
      <c r="M15" s="25"/>
      <c r="N15" s="25"/>
      <c r="O15" s="25"/>
      <c r="P15" s="25"/>
      <c r="Q15" s="25"/>
      <c r="R15" s="25"/>
      <c r="S15" s="25"/>
      <c r="T15" s="25"/>
      <c r="U15" s="25"/>
      <c r="V15" s="25"/>
      <c r="W15" s="25"/>
      <c r="X15" s="25"/>
      <c r="Y15" s="25"/>
      <c r="Z15" s="25"/>
    </row>
    <row r="16" ht="27.0" customHeight="1">
      <c r="A16" s="25"/>
      <c r="B16" s="38" t="s">
        <v>50</v>
      </c>
      <c r="C16" s="37" t="s">
        <v>51</v>
      </c>
      <c r="D16" s="25"/>
      <c r="E16" s="25"/>
      <c r="F16" s="25"/>
      <c r="G16" s="25"/>
      <c r="H16" s="25"/>
      <c r="I16" s="25"/>
      <c r="J16" s="25"/>
      <c r="K16" s="25"/>
      <c r="L16" s="25"/>
      <c r="M16" s="25"/>
      <c r="N16" s="25"/>
      <c r="O16" s="25"/>
      <c r="P16" s="25"/>
      <c r="Q16" s="25"/>
      <c r="R16" s="25"/>
      <c r="S16" s="25"/>
      <c r="T16" s="25"/>
      <c r="U16" s="25"/>
      <c r="V16" s="25"/>
      <c r="W16" s="25"/>
      <c r="X16" s="25"/>
      <c r="Y16" s="25"/>
      <c r="Z16" s="25"/>
    </row>
    <row r="17" ht="27.0" customHeight="1">
      <c r="A17" s="25" t="s">
        <v>44</v>
      </c>
      <c r="B17" s="39" t="s">
        <v>52</v>
      </c>
      <c r="C17" s="37" t="s">
        <v>53</v>
      </c>
      <c r="D17" s="25"/>
      <c r="E17" s="25"/>
      <c r="F17" s="25"/>
      <c r="G17" s="25"/>
      <c r="H17" s="25"/>
      <c r="I17" s="25"/>
      <c r="J17" s="25"/>
      <c r="K17" s="25"/>
      <c r="L17" s="25"/>
      <c r="M17" s="25"/>
      <c r="N17" s="25"/>
      <c r="O17" s="25"/>
      <c r="P17" s="25"/>
      <c r="Q17" s="25"/>
      <c r="R17" s="25"/>
      <c r="S17" s="25"/>
      <c r="T17" s="25"/>
      <c r="U17" s="25"/>
      <c r="V17" s="25"/>
      <c r="W17" s="25"/>
      <c r="X17" s="25"/>
      <c r="Y17" s="25"/>
      <c r="Z17" s="25"/>
    </row>
    <row r="18" ht="27.0" customHeight="1">
      <c r="A18" s="25" t="s">
        <v>54</v>
      </c>
      <c r="B18" s="25"/>
      <c r="C18" s="25"/>
      <c r="D18" s="25"/>
      <c r="E18" s="25"/>
      <c r="F18" s="25"/>
      <c r="G18" s="25"/>
      <c r="H18" s="25"/>
      <c r="I18" s="25"/>
      <c r="J18" s="25"/>
      <c r="K18" s="25"/>
      <c r="L18" s="25"/>
      <c r="M18" s="25"/>
      <c r="N18" s="25"/>
      <c r="O18" s="25"/>
      <c r="P18" s="25"/>
      <c r="Q18" s="25"/>
      <c r="R18" s="25"/>
      <c r="S18" s="25"/>
      <c r="T18" s="25"/>
      <c r="U18" s="25"/>
      <c r="V18" s="25"/>
      <c r="W18" s="25"/>
      <c r="X18" s="25"/>
      <c r="Y18" s="25"/>
      <c r="Z18" s="25"/>
    </row>
    <row r="19" ht="13.5" customHeight="1">
      <c r="A19" s="25" t="s">
        <v>55</v>
      </c>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13.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3.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3.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3.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3.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3.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3.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3.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3.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3.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3.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3.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3.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3.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3">
    <mergeCell ref="B2:C2"/>
    <mergeCell ref="B8:C8"/>
    <mergeCell ref="B14:C14"/>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sheetViews>
  <sheetFormatPr customHeight="1" defaultColWidth="14.43" defaultRowHeight="15.0"/>
  <cols>
    <col customWidth="1" min="1" max="1" width="11.43"/>
    <col customWidth="1" min="2" max="2" width="58.43"/>
    <col customWidth="1" min="3" max="3" width="4.86"/>
    <col customWidth="1" min="4" max="7" width="11.43"/>
    <col customWidth="1" min="8" max="8" width="19.0"/>
    <col customWidth="1" min="9" max="9" width="5.71"/>
    <col customWidth="1" min="10" max="11" width="11.43"/>
    <col customWidth="1" min="12" max="12" width="23.0"/>
    <col customWidth="1" min="13" max="26" width="11.43"/>
  </cols>
  <sheetData>
    <row r="1" ht="240.75" customHeight="1">
      <c r="A1" s="25"/>
      <c r="B1" s="25"/>
      <c r="C1" s="25"/>
      <c r="D1" s="25"/>
      <c r="E1" s="25"/>
      <c r="F1" s="25"/>
      <c r="G1" s="25"/>
      <c r="H1" s="25"/>
      <c r="I1" s="25"/>
      <c r="J1" s="25"/>
      <c r="K1" s="25"/>
      <c r="L1" s="25"/>
      <c r="M1" s="25"/>
      <c r="N1" s="25"/>
      <c r="O1" s="25"/>
      <c r="P1" s="25"/>
      <c r="Q1" s="25"/>
      <c r="R1" s="25"/>
      <c r="S1" s="25"/>
      <c r="T1" s="25"/>
      <c r="U1" s="25"/>
      <c r="V1" s="25"/>
      <c r="W1" s="25"/>
      <c r="X1" s="25"/>
      <c r="Y1" s="25"/>
      <c r="Z1" s="25"/>
    </row>
    <row r="2" ht="23.25" customHeight="1">
      <c r="A2" s="25"/>
      <c r="B2" s="40" t="s">
        <v>56</v>
      </c>
      <c r="C2" s="41"/>
      <c r="D2" s="42" t="s">
        <v>56</v>
      </c>
      <c r="E2" s="43"/>
      <c r="F2" s="43"/>
      <c r="G2" s="43"/>
      <c r="H2" s="44"/>
      <c r="I2" s="41"/>
      <c r="J2" s="42" t="s">
        <v>56</v>
      </c>
      <c r="K2" s="43"/>
      <c r="L2" s="44"/>
      <c r="M2" s="25"/>
      <c r="N2" s="25"/>
      <c r="O2" s="25"/>
      <c r="P2" s="25"/>
      <c r="Q2" s="25"/>
      <c r="R2" s="25"/>
      <c r="S2" s="25"/>
      <c r="T2" s="25"/>
      <c r="U2" s="25"/>
      <c r="V2" s="25"/>
      <c r="W2" s="25"/>
      <c r="X2" s="25"/>
      <c r="Y2" s="25"/>
      <c r="Z2" s="25"/>
    </row>
    <row r="3" ht="23.25" customHeight="1">
      <c r="A3" s="25"/>
      <c r="B3" s="45" t="s">
        <v>57</v>
      </c>
      <c r="C3" s="25"/>
      <c r="D3" s="46" t="s">
        <v>31</v>
      </c>
      <c r="E3" s="43"/>
      <c r="F3" s="43"/>
      <c r="G3" s="43"/>
      <c r="H3" s="44"/>
      <c r="I3" s="25"/>
      <c r="J3" s="47" t="s">
        <v>58</v>
      </c>
      <c r="K3" s="43"/>
      <c r="L3" s="44"/>
      <c r="M3" s="25"/>
      <c r="N3" s="25"/>
      <c r="O3" s="25"/>
      <c r="P3" s="25"/>
      <c r="Q3" s="25"/>
      <c r="R3" s="25"/>
      <c r="S3" s="25"/>
      <c r="T3" s="25"/>
      <c r="U3" s="25"/>
      <c r="V3" s="25"/>
      <c r="W3" s="25"/>
      <c r="X3" s="25"/>
      <c r="Y3" s="25"/>
      <c r="Z3" s="25"/>
    </row>
    <row r="4" ht="23.25" customHeight="1">
      <c r="A4" s="25"/>
      <c r="B4" s="45" t="s">
        <v>59</v>
      </c>
      <c r="C4" s="25"/>
      <c r="D4" s="46" t="s">
        <v>60</v>
      </c>
      <c r="E4" s="43"/>
      <c r="F4" s="43"/>
      <c r="G4" s="43"/>
      <c r="H4" s="44"/>
      <c r="I4" s="25"/>
      <c r="J4" s="47" t="s">
        <v>61</v>
      </c>
      <c r="K4" s="43"/>
      <c r="L4" s="44"/>
      <c r="M4" s="25"/>
      <c r="N4" s="25"/>
      <c r="O4" s="25"/>
      <c r="P4" s="25"/>
      <c r="Q4" s="25"/>
      <c r="R4" s="25"/>
      <c r="S4" s="25"/>
      <c r="T4" s="25"/>
      <c r="U4" s="25"/>
      <c r="V4" s="25"/>
      <c r="W4" s="25"/>
      <c r="X4" s="25"/>
      <c r="Y4" s="25"/>
      <c r="Z4" s="25"/>
    </row>
    <row r="5" ht="23.25" customHeight="1">
      <c r="A5" s="25"/>
      <c r="B5" s="45" t="s">
        <v>62</v>
      </c>
      <c r="C5" s="25"/>
      <c r="D5" s="46" t="s">
        <v>63</v>
      </c>
      <c r="E5" s="43"/>
      <c r="F5" s="43"/>
      <c r="G5" s="43"/>
      <c r="H5" s="44"/>
      <c r="I5" s="25"/>
      <c r="J5" s="47" t="s">
        <v>64</v>
      </c>
      <c r="K5" s="43"/>
      <c r="L5" s="44"/>
      <c r="M5" s="25"/>
      <c r="N5" s="25"/>
      <c r="O5" s="25"/>
      <c r="P5" s="25"/>
      <c r="Q5" s="25"/>
      <c r="R5" s="25"/>
      <c r="S5" s="25"/>
      <c r="T5" s="25"/>
      <c r="U5" s="25"/>
      <c r="V5" s="25"/>
      <c r="W5" s="25"/>
      <c r="X5" s="25"/>
      <c r="Y5" s="25"/>
      <c r="Z5" s="25"/>
    </row>
    <row r="6" ht="23.25" customHeight="1">
      <c r="A6" s="25"/>
      <c r="B6" s="25"/>
      <c r="C6" s="25"/>
      <c r="D6" s="46" t="s">
        <v>65</v>
      </c>
      <c r="E6" s="43"/>
      <c r="F6" s="43"/>
      <c r="G6" s="43"/>
      <c r="H6" s="44"/>
      <c r="I6" s="25"/>
      <c r="J6" s="25"/>
      <c r="K6" s="41"/>
      <c r="L6" s="25"/>
      <c r="M6" s="25"/>
      <c r="N6" s="25"/>
      <c r="O6" s="25"/>
      <c r="P6" s="25"/>
      <c r="Q6" s="25"/>
      <c r="R6" s="25"/>
      <c r="S6" s="25"/>
      <c r="T6" s="25"/>
      <c r="U6" s="25"/>
      <c r="V6" s="25"/>
      <c r="W6" s="25"/>
      <c r="X6" s="25"/>
      <c r="Y6" s="25"/>
      <c r="Z6" s="25"/>
    </row>
    <row r="7" ht="23.25" customHeight="1">
      <c r="A7" s="25"/>
      <c r="B7" s="40" t="s">
        <v>56</v>
      </c>
      <c r="C7" s="25"/>
      <c r="D7" s="46" t="s">
        <v>66</v>
      </c>
      <c r="E7" s="43"/>
      <c r="F7" s="43"/>
      <c r="G7" s="43"/>
      <c r="H7" s="44"/>
      <c r="I7" s="25"/>
      <c r="J7" s="42" t="s">
        <v>56</v>
      </c>
      <c r="K7" s="43"/>
      <c r="L7" s="44"/>
      <c r="M7" s="25"/>
      <c r="N7" s="25"/>
      <c r="O7" s="25"/>
      <c r="P7" s="25"/>
      <c r="Q7" s="25"/>
      <c r="R7" s="25"/>
      <c r="S7" s="25"/>
      <c r="T7" s="25"/>
      <c r="U7" s="25"/>
      <c r="V7" s="25"/>
      <c r="W7" s="25"/>
      <c r="X7" s="25"/>
      <c r="Y7" s="25"/>
      <c r="Z7" s="25"/>
    </row>
    <row r="8" ht="23.25" customHeight="1">
      <c r="A8" s="25"/>
      <c r="B8" s="48" t="s">
        <v>25</v>
      </c>
      <c r="C8" s="25"/>
      <c r="D8" s="25"/>
      <c r="E8" s="25"/>
      <c r="F8" s="25"/>
      <c r="G8" s="25"/>
      <c r="H8" s="25"/>
      <c r="I8" s="25"/>
      <c r="J8" s="49" t="s">
        <v>29</v>
      </c>
      <c r="K8" s="43"/>
      <c r="L8" s="44"/>
      <c r="M8" s="25"/>
      <c r="N8" s="25"/>
      <c r="O8" s="25"/>
      <c r="P8" s="25"/>
      <c r="Q8" s="25"/>
      <c r="R8" s="25"/>
      <c r="S8" s="25"/>
      <c r="T8" s="25"/>
      <c r="U8" s="25"/>
      <c r="V8" s="25"/>
      <c r="W8" s="25"/>
      <c r="X8" s="25"/>
      <c r="Y8" s="25"/>
      <c r="Z8" s="25"/>
    </row>
    <row r="9" ht="23.25" customHeight="1">
      <c r="A9" s="25"/>
      <c r="B9" s="48" t="s">
        <v>67</v>
      </c>
      <c r="C9" s="25"/>
      <c r="D9" s="42" t="s">
        <v>56</v>
      </c>
      <c r="E9" s="43"/>
      <c r="F9" s="43"/>
      <c r="G9" s="43"/>
      <c r="H9" s="44"/>
      <c r="I9" s="25"/>
      <c r="J9" s="49" t="s">
        <v>68</v>
      </c>
      <c r="K9" s="43"/>
      <c r="L9" s="44"/>
      <c r="M9" s="25"/>
      <c r="N9" s="25"/>
      <c r="O9" s="25"/>
      <c r="P9" s="25"/>
      <c r="Q9" s="25"/>
      <c r="R9" s="25"/>
      <c r="S9" s="25"/>
      <c r="T9" s="25"/>
      <c r="U9" s="25"/>
      <c r="V9" s="25"/>
      <c r="W9" s="25"/>
      <c r="X9" s="25"/>
      <c r="Y9" s="25"/>
      <c r="Z9" s="25"/>
    </row>
    <row r="10" ht="23.25" customHeight="1">
      <c r="A10" s="25"/>
      <c r="B10" s="48" t="s">
        <v>69</v>
      </c>
      <c r="C10" s="25"/>
      <c r="D10" s="50" t="s">
        <v>26</v>
      </c>
      <c r="E10" s="43"/>
      <c r="F10" s="43"/>
      <c r="G10" s="43"/>
      <c r="H10" s="44"/>
      <c r="I10" s="25"/>
      <c r="J10" s="49" t="s">
        <v>70</v>
      </c>
      <c r="K10" s="43"/>
      <c r="L10" s="44"/>
      <c r="M10" s="25"/>
      <c r="N10" s="25"/>
      <c r="O10" s="25"/>
      <c r="P10" s="25"/>
      <c r="Q10" s="25"/>
      <c r="R10" s="25"/>
      <c r="S10" s="25"/>
      <c r="T10" s="25"/>
      <c r="U10" s="25"/>
      <c r="V10" s="25"/>
      <c r="W10" s="25"/>
      <c r="X10" s="25"/>
      <c r="Y10" s="25"/>
      <c r="Z10" s="25"/>
    </row>
    <row r="11" ht="23.25" customHeight="1">
      <c r="A11" s="25"/>
      <c r="B11" s="48" t="s">
        <v>71</v>
      </c>
      <c r="C11" s="25"/>
      <c r="D11" s="50" t="s">
        <v>72</v>
      </c>
      <c r="E11" s="43"/>
      <c r="F11" s="43"/>
      <c r="G11" s="43"/>
      <c r="H11" s="44"/>
      <c r="I11" s="25"/>
      <c r="J11" s="49" t="s">
        <v>73</v>
      </c>
      <c r="K11" s="43"/>
      <c r="L11" s="44"/>
      <c r="M11" s="25"/>
      <c r="N11" s="25"/>
      <c r="O11" s="25"/>
      <c r="P11" s="25"/>
      <c r="Q11" s="25"/>
      <c r="R11" s="25"/>
      <c r="S11" s="25"/>
      <c r="T11" s="25"/>
      <c r="U11" s="25"/>
      <c r="V11" s="25"/>
      <c r="W11" s="25"/>
      <c r="X11" s="25"/>
      <c r="Y11" s="25"/>
      <c r="Z11" s="25"/>
    </row>
    <row r="12" ht="23.25" customHeight="1">
      <c r="A12" s="25"/>
      <c r="B12" s="48" t="s">
        <v>74</v>
      </c>
      <c r="C12" s="25"/>
      <c r="D12" s="50" t="s">
        <v>75</v>
      </c>
      <c r="E12" s="43"/>
      <c r="F12" s="43"/>
      <c r="G12" s="43"/>
      <c r="H12" s="44"/>
      <c r="I12" s="25"/>
      <c r="J12" s="49" t="s">
        <v>76</v>
      </c>
      <c r="K12" s="43"/>
      <c r="L12" s="44"/>
      <c r="M12" s="25"/>
      <c r="N12" s="25"/>
      <c r="O12" s="25"/>
      <c r="P12" s="25"/>
      <c r="Q12" s="25"/>
      <c r="R12" s="25"/>
      <c r="S12" s="25"/>
      <c r="T12" s="25"/>
      <c r="U12" s="25"/>
      <c r="V12" s="25"/>
      <c r="W12" s="25"/>
      <c r="X12" s="25"/>
      <c r="Y12" s="25"/>
      <c r="Z12" s="25"/>
    </row>
    <row r="13" ht="23.25" customHeight="1">
      <c r="A13" s="25"/>
      <c r="B13" s="48" t="s">
        <v>77</v>
      </c>
      <c r="C13" s="25"/>
      <c r="D13" s="50" t="s">
        <v>78</v>
      </c>
      <c r="E13" s="43"/>
      <c r="F13" s="43"/>
      <c r="G13" s="43"/>
      <c r="H13" s="44"/>
      <c r="I13" s="25"/>
      <c r="J13" s="25"/>
      <c r="K13" s="25"/>
      <c r="L13" s="25"/>
      <c r="M13" s="25"/>
      <c r="N13" s="25"/>
      <c r="O13" s="25"/>
      <c r="P13" s="25"/>
      <c r="Q13" s="25"/>
      <c r="R13" s="25"/>
      <c r="S13" s="25"/>
      <c r="T13" s="25"/>
      <c r="U13" s="25"/>
      <c r="V13" s="25"/>
      <c r="W13" s="25"/>
      <c r="X13" s="25"/>
      <c r="Y13" s="25"/>
      <c r="Z13" s="25"/>
    </row>
    <row r="14" ht="23.25" customHeight="1">
      <c r="A14" s="25"/>
      <c r="B14" s="25"/>
      <c r="C14" s="25"/>
      <c r="D14" s="50" t="s">
        <v>28</v>
      </c>
      <c r="E14" s="43"/>
      <c r="F14" s="43"/>
      <c r="G14" s="43"/>
      <c r="H14" s="44"/>
      <c r="I14" s="25"/>
      <c r="J14" s="25"/>
      <c r="K14" s="25"/>
      <c r="L14" s="25"/>
      <c r="M14" s="25"/>
      <c r="N14" s="25"/>
      <c r="O14" s="25"/>
      <c r="P14" s="25"/>
      <c r="Q14" s="25"/>
      <c r="R14" s="25"/>
      <c r="S14" s="25"/>
      <c r="T14" s="25"/>
      <c r="U14" s="25"/>
      <c r="V14" s="25"/>
      <c r="W14" s="25"/>
      <c r="X14" s="25"/>
      <c r="Y14" s="25"/>
      <c r="Z14" s="25"/>
    </row>
    <row r="15" ht="23.25" customHeight="1">
      <c r="A15" s="25"/>
      <c r="B15" s="25"/>
      <c r="C15" s="25"/>
      <c r="D15" s="50" t="s">
        <v>79</v>
      </c>
      <c r="E15" s="43"/>
      <c r="F15" s="43"/>
      <c r="G15" s="43"/>
      <c r="H15" s="44"/>
      <c r="I15" s="25"/>
      <c r="J15" s="25"/>
      <c r="K15" s="25"/>
      <c r="L15" s="25"/>
      <c r="M15" s="25"/>
      <c r="N15" s="25"/>
      <c r="O15" s="25"/>
      <c r="P15" s="25"/>
      <c r="Q15" s="25"/>
      <c r="R15" s="25"/>
      <c r="S15" s="25"/>
      <c r="T15" s="25"/>
      <c r="U15" s="25"/>
      <c r="V15" s="25"/>
      <c r="W15" s="25"/>
      <c r="X15" s="25"/>
      <c r="Y15" s="25"/>
      <c r="Z15" s="25"/>
    </row>
    <row r="16" ht="23.25" customHeight="1">
      <c r="A16" s="25"/>
      <c r="B16" s="25"/>
      <c r="C16" s="25"/>
      <c r="D16" s="50" t="s">
        <v>70</v>
      </c>
      <c r="E16" s="43"/>
      <c r="F16" s="43"/>
      <c r="G16" s="43"/>
      <c r="H16" s="44"/>
      <c r="I16" s="25"/>
      <c r="J16" s="25"/>
      <c r="K16" s="25"/>
      <c r="L16" s="25"/>
      <c r="M16" s="25"/>
      <c r="N16" s="25"/>
      <c r="O16" s="25"/>
      <c r="P16" s="25"/>
      <c r="Q16" s="25"/>
      <c r="R16" s="25"/>
      <c r="S16" s="25"/>
      <c r="T16" s="25"/>
      <c r="U16" s="25"/>
      <c r="V16" s="25"/>
      <c r="W16" s="25"/>
      <c r="X16" s="25"/>
      <c r="Y16" s="25"/>
      <c r="Z16" s="25"/>
    </row>
    <row r="17" ht="23.25" customHeight="1">
      <c r="A17" s="25"/>
      <c r="B17" s="25"/>
      <c r="C17" s="25"/>
      <c r="D17" s="50" t="s">
        <v>80</v>
      </c>
      <c r="E17" s="43"/>
      <c r="F17" s="43"/>
      <c r="G17" s="43"/>
      <c r="H17" s="44"/>
      <c r="I17" s="25"/>
      <c r="J17" s="25"/>
      <c r="K17" s="25"/>
      <c r="L17" s="25"/>
      <c r="M17" s="25"/>
      <c r="N17" s="25"/>
      <c r="O17" s="25"/>
      <c r="P17" s="25"/>
      <c r="Q17" s="25"/>
      <c r="R17" s="25"/>
      <c r="S17" s="25"/>
      <c r="T17" s="25"/>
      <c r="U17" s="25"/>
      <c r="V17" s="25"/>
      <c r="W17" s="25"/>
      <c r="X17" s="25"/>
      <c r="Y17" s="25"/>
      <c r="Z17" s="25"/>
    </row>
    <row r="18" ht="23.25" customHeight="1">
      <c r="A18" s="25"/>
      <c r="B18" s="25"/>
      <c r="C18" s="25"/>
      <c r="D18" s="50" t="s">
        <v>81</v>
      </c>
      <c r="E18" s="43"/>
      <c r="F18" s="43"/>
      <c r="G18" s="43"/>
      <c r="H18" s="44"/>
      <c r="I18" s="25"/>
      <c r="J18" s="25"/>
      <c r="K18" s="25"/>
      <c r="L18" s="25"/>
      <c r="M18" s="25"/>
      <c r="N18" s="25"/>
      <c r="O18" s="25"/>
      <c r="P18" s="25"/>
      <c r="Q18" s="25"/>
      <c r="R18" s="25"/>
      <c r="S18" s="25"/>
      <c r="T18" s="25"/>
      <c r="U18" s="25"/>
      <c r="V18" s="25"/>
      <c r="W18" s="25"/>
      <c r="X18" s="25"/>
      <c r="Y18" s="25"/>
      <c r="Z18" s="25"/>
    </row>
    <row r="19" ht="23.25" customHeight="1">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row>
    <row r="20" ht="23.25" customHeight="1">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row>
    <row r="21" ht="19.5" customHeight="1">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row>
    <row r="22" ht="19.5" customHeight="1">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row>
    <row r="23" ht="19.5" customHeight="1">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row>
    <row r="24" ht="19.5" customHeight="1">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row>
    <row r="25" ht="19.5" customHeight="1">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row>
    <row r="26" ht="19.5" customHeight="1">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row>
    <row r="27" ht="19.5" customHeight="1">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row>
    <row r="28" ht="19.5" customHeight="1">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row>
    <row r="29" ht="19.5" customHeight="1">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row>
    <row r="30" ht="19.5" customHeight="1">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row>
    <row r="31" ht="19.5" customHeight="1">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row>
    <row r="32" ht="19.5" customHeight="1">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row>
    <row r="33" ht="19.5" customHeight="1">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row>
    <row r="34" ht="13.5" customHeight="1">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row>
    <row r="35" ht="13.5" customHeight="1">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row>
    <row r="36" ht="13.5" customHeight="1">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row>
    <row r="37" ht="13.5" customHeight="1">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row>
    <row r="38" ht="13.5" customHeight="1">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row>
    <row r="39" ht="13.5" customHeight="1">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row>
    <row r="40" ht="13.5" customHeight="1">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row>
    <row r="41" ht="13.5" customHeight="1">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row>
    <row r="42" ht="13.5" customHeight="1">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row>
    <row r="43" ht="13.5" customHeight="1">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row>
    <row r="44" ht="13.5" customHeight="1">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row>
    <row r="45" ht="13.5" customHeight="1">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row>
    <row r="46" ht="13.5" customHeight="1">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row>
    <row r="47" ht="13.5" customHeight="1">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row>
    <row r="48" ht="13.5" customHeight="1">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row>
    <row r="49" ht="13.5" customHeight="1">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row>
    <row r="50" ht="13.5" customHeight="1">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row>
    <row r="51" ht="13.5" customHeight="1">
      <c r="A51" s="25"/>
      <c r="B51" s="25"/>
      <c r="C51" s="25"/>
      <c r="D51" s="25"/>
      <c r="E51" s="25"/>
      <c r="F51" s="25"/>
      <c r="G51" s="25"/>
      <c r="H51" s="25"/>
      <c r="I51" s="25"/>
      <c r="J51" s="25"/>
      <c r="K51" s="25"/>
      <c r="L51" s="25"/>
      <c r="M51" s="25"/>
      <c r="N51" s="25"/>
      <c r="O51" s="25"/>
      <c r="P51" s="25"/>
      <c r="Q51" s="25"/>
      <c r="R51" s="25"/>
      <c r="S51" s="25"/>
      <c r="T51" s="25"/>
      <c r="U51" s="25"/>
      <c r="V51" s="25"/>
      <c r="W51" s="25"/>
      <c r="X51" s="25"/>
      <c r="Y51" s="25"/>
      <c r="Z51" s="25"/>
    </row>
    <row r="52" ht="13.5" customHeight="1">
      <c r="A52" s="25"/>
      <c r="B52" s="25"/>
      <c r="C52" s="25"/>
      <c r="D52" s="25"/>
      <c r="E52" s="25"/>
      <c r="F52" s="25"/>
      <c r="G52" s="25"/>
      <c r="H52" s="25"/>
      <c r="I52" s="25"/>
      <c r="J52" s="25"/>
      <c r="K52" s="25"/>
      <c r="L52" s="25"/>
      <c r="M52" s="25"/>
      <c r="N52" s="25"/>
      <c r="O52" s="25"/>
      <c r="P52" s="25"/>
      <c r="Q52" s="25"/>
      <c r="R52" s="25"/>
      <c r="S52" s="25"/>
      <c r="T52" s="25"/>
      <c r="U52" s="25"/>
      <c r="V52" s="25"/>
      <c r="W52" s="25"/>
      <c r="X52" s="25"/>
      <c r="Y52" s="25"/>
      <c r="Z52" s="25"/>
    </row>
    <row r="53" ht="13.5" customHeight="1">
      <c r="A53" s="25"/>
      <c r="B53" s="25"/>
      <c r="C53" s="25"/>
      <c r="D53" s="25"/>
      <c r="E53" s="25"/>
      <c r="F53" s="25"/>
      <c r="G53" s="25"/>
      <c r="H53" s="25"/>
      <c r="I53" s="25"/>
      <c r="J53" s="25"/>
      <c r="K53" s="25"/>
      <c r="L53" s="25"/>
      <c r="M53" s="25"/>
      <c r="N53" s="25"/>
      <c r="O53" s="25"/>
      <c r="P53" s="25"/>
      <c r="Q53" s="25"/>
      <c r="R53" s="25"/>
      <c r="S53" s="25"/>
      <c r="T53" s="25"/>
      <c r="U53" s="25"/>
      <c r="V53" s="25"/>
      <c r="W53" s="25"/>
      <c r="X53" s="25"/>
      <c r="Y53" s="25"/>
      <c r="Z53" s="25"/>
    </row>
    <row r="54" ht="13.5" customHeight="1">
      <c r="A54" s="25"/>
      <c r="B54" s="25"/>
      <c r="C54" s="25"/>
      <c r="D54" s="25"/>
      <c r="E54" s="25"/>
      <c r="F54" s="25"/>
      <c r="G54" s="25"/>
      <c r="H54" s="25"/>
      <c r="I54" s="25"/>
      <c r="J54" s="25"/>
      <c r="K54" s="25"/>
      <c r="L54" s="25"/>
      <c r="M54" s="25"/>
      <c r="N54" s="25"/>
      <c r="O54" s="25"/>
      <c r="P54" s="25"/>
      <c r="Q54" s="25"/>
      <c r="R54" s="25"/>
      <c r="S54" s="25"/>
      <c r="T54" s="25"/>
      <c r="U54" s="25"/>
      <c r="V54" s="25"/>
      <c r="W54" s="25"/>
      <c r="X54" s="25"/>
      <c r="Y54" s="25"/>
      <c r="Z54" s="25"/>
    </row>
    <row r="55" ht="13.5" customHeight="1">
      <c r="A55" s="25"/>
      <c r="B55" s="25"/>
      <c r="C55" s="25"/>
      <c r="D55" s="25"/>
      <c r="E55" s="25"/>
      <c r="F55" s="25"/>
      <c r="G55" s="25"/>
      <c r="H55" s="25"/>
      <c r="I55" s="25"/>
      <c r="J55" s="25"/>
      <c r="K55" s="25"/>
      <c r="L55" s="25"/>
      <c r="M55" s="25"/>
      <c r="N55" s="25"/>
      <c r="O55" s="25"/>
      <c r="P55" s="25"/>
      <c r="Q55" s="25"/>
      <c r="R55" s="25"/>
      <c r="S55" s="25"/>
      <c r="T55" s="25"/>
      <c r="U55" s="25"/>
      <c r="V55" s="25"/>
      <c r="W55" s="25"/>
      <c r="X55" s="25"/>
      <c r="Y55" s="25"/>
      <c r="Z55" s="25"/>
    </row>
    <row r="56" ht="13.5" customHeight="1">
      <c r="A56" s="25"/>
      <c r="B56" s="25"/>
      <c r="C56" s="25"/>
      <c r="D56" s="25"/>
      <c r="E56" s="25"/>
      <c r="F56" s="25"/>
      <c r="G56" s="25"/>
      <c r="H56" s="25"/>
      <c r="I56" s="25"/>
      <c r="J56" s="25"/>
      <c r="K56" s="25"/>
      <c r="L56" s="25"/>
      <c r="M56" s="25"/>
      <c r="N56" s="25"/>
      <c r="O56" s="25"/>
      <c r="P56" s="25"/>
      <c r="Q56" s="25"/>
      <c r="R56" s="25"/>
      <c r="S56" s="25"/>
      <c r="T56" s="25"/>
      <c r="U56" s="25"/>
      <c r="V56" s="25"/>
      <c r="W56" s="25"/>
      <c r="X56" s="25"/>
      <c r="Y56" s="25"/>
      <c r="Z56" s="25"/>
    </row>
    <row r="57" ht="13.5" customHeight="1">
      <c r="A57" s="25"/>
      <c r="B57" s="25"/>
      <c r="C57" s="25"/>
      <c r="D57" s="25"/>
      <c r="E57" s="25"/>
      <c r="F57" s="25"/>
      <c r="G57" s="25"/>
      <c r="H57" s="25"/>
      <c r="I57" s="25"/>
      <c r="J57" s="25"/>
      <c r="K57" s="25"/>
      <c r="L57" s="25"/>
      <c r="M57" s="25"/>
      <c r="N57" s="25"/>
      <c r="O57" s="25"/>
      <c r="P57" s="25"/>
      <c r="Q57" s="25"/>
      <c r="R57" s="25"/>
      <c r="S57" s="25"/>
      <c r="T57" s="25"/>
      <c r="U57" s="25"/>
      <c r="V57" s="25"/>
      <c r="W57" s="25"/>
      <c r="X57" s="25"/>
      <c r="Y57" s="25"/>
      <c r="Z57" s="25"/>
    </row>
    <row r="58" ht="13.5" customHeight="1">
      <c r="A58" s="25"/>
      <c r="B58" s="25"/>
      <c r="C58" s="25"/>
      <c r="D58" s="25"/>
      <c r="E58" s="25"/>
      <c r="F58" s="25"/>
      <c r="G58" s="25"/>
      <c r="H58" s="25"/>
      <c r="I58" s="25"/>
      <c r="J58" s="25"/>
      <c r="K58" s="25"/>
      <c r="L58" s="25"/>
      <c r="M58" s="25"/>
      <c r="N58" s="25"/>
      <c r="O58" s="25"/>
      <c r="P58" s="25"/>
      <c r="Q58" s="25"/>
      <c r="R58" s="25"/>
      <c r="S58" s="25"/>
      <c r="T58" s="25"/>
      <c r="U58" s="25"/>
      <c r="V58" s="25"/>
      <c r="W58" s="25"/>
      <c r="X58" s="25"/>
      <c r="Y58" s="25"/>
      <c r="Z58" s="25"/>
    </row>
    <row r="59" ht="13.5" customHeight="1">
      <c r="A59" s="25"/>
      <c r="B59" s="25"/>
      <c r="C59" s="25"/>
      <c r="D59" s="25"/>
      <c r="E59" s="25"/>
      <c r="F59" s="25"/>
      <c r="G59" s="25"/>
      <c r="H59" s="25"/>
      <c r="I59" s="25"/>
      <c r="J59" s="25"/>
      <c r="K59" s="25"/>
      <c r="L59" s="25"/>
      <c r="M59" s="25"/>
      <c r="N59" s="25"/>
      <c r="O59" s="25"/>
      <c r="P59" s="25"/>
      <c r="Q59" s="25"/>
      <c r="R59" s="25"/>
      <c r="S59" s="25"/>
      <c r="T59" s="25"/>
      <c r="U59" s="25"/>
      <c r="V59" s="25"/>
      <c r="W59" s="25"/>
      <c r="X59" s="25"/>
      <c r="Y59" s="25"/>
      <c r="Z59" s="25"/>
    </row>
    <row r="60" ht="13.5" customHeight="1">
      <c r="A60" s="25"/>
      <c r="B60" s="25"/>
      <c r="C60" s="25"/>
      <c r="D60" s="25"/>
      <c r="E60" s="25"/>
      <c r="F60" s="25"/>
      <c r="G60" s="25"/>
      <c r="H60" s="25"/>
      <c r="I60" s="25"/>
      <c r="J60" s="25"/>
      <c r="K60" s="25"/>
      <c r="L60" s="25"/>
      <c r="M60" s="25"/>
      <c r="N60" s="25"/>
      <c r="O60" s="25"/>
      <c r="P60" s="25"/>
      <c r="Q60" s="25"/>
      <c r="R60" s="25"/>
      <c r="S60" s="25"/>
      <c r="T60" s="25"/>
      <c r="U60" s="25"/>
      <c r="V60" s="25"/>
      <c r="W60" s="25"/>
      <c r="X60" s="25"/>
      <c r="Y60" s="25"/>
      <c r="Z60" s="25"/>
    </row>
    <row r="61" ht="13.5" customHeight="1">
      <c r="A61" s="25"/>
      <c r="B61" s="25"/>
      <c r="C61" s="25"/>
      <c r="D61" s="25"/>
      <c r="E61" s="25"/>
      <c r="F61" s="25"/>
      <c r="G61" s="25"/>
      <c r="H61" s="25"/>
      <c r="I61" s="25"/>
      <c r="J61" s="25"/>
      <c r="K61" s="25"/>
      <c r="L61" s="25"/>
      <c r="M61" s="25"/>
      <c r="N61" s="25"/>
      <c r="O61" s="25"/>
      <c r="P61" s="25"/>
      <c r="Q61" s="25"/>
      <c r="R61" s="25"/>
      <c r="S61" s="25"/>
      <c r="T61" s="25"/>
      <c r="U61" s="25"/>
      <c r="V61" s="25"/>
      <c r="W61" s="25"/>
      <c r="X61" s="25"/>
      <c r="Y61" s="25"/>
      <c r="Z61" s="25"/>
    </row>
    <row r="62" ht="13.5" customHeight="1">
      <c r="A62" s="25"/>
      <c r="B62" s="25"/>
      <c r="C62" s="25"/>
      <c r="D62" s="25"/>
      <c r="E62" s="25"/>
      <c r="F62" s="25"/>
      <c r="G62" s="25"/>
      <c r="H62" s="25"/>
      <c r="I62" s="25"/>
      <c r="J62" s="25"/>
      <c r="K62" s="25"/>
      <c r="L62" s="25"/>
      <c r="M62" s="25"/>
      <c r="N62" s="25"/>
      <c r="O62" s="25"/>
      <c r="P62" s="25"/>
      <c r="Q62" s="25"/>
      <c r="R62" s="25"/>
      <c r="S62" s="25"/>
      <c r="T62" s="25"/>
      <c r="U62" s="25"/>
      <c r="V62" s="25"/>
      <c r="W62" s="25"/>
      <c r="X62" s="25"/>
      <c r="Y62" s="25"/>
      <c r="Z62" s="25"/>
    </row>
    <row r="63" ht="13.5" customHeight="1">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row>
    <row r="64" ht="13.5" customHeight="1">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row>
    <row r="65" ht="13.5" customHeight="1">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row>
    <row r="66" ht="13.5" customHeight="1">
      <c r="A66" s="25"/>
      <c r="B66" s="25"/>
      <c r="C66" s="25"/>
      <c r="D66" s="25"/>
      <c r="E66" s="25"/>
      <c r="F66" s="25"/>
      <c r="G66" s="25"/>
      <c r="H66" s="25"/>
      <c r="I66" s="25"/>
      <c r="J66" s="25"/>
      <c r="K66" s="25"/>
      <c r="L66" s="25"/>
      <c r="M66" s="25"/>
      <c r="N66" s="25"/>
      <c r="O66" s="25"/>
      <c r="P66" s="25"/>
      <c r="Q66" s="25"/>
      <c r="R66" s="25"/>
      <c r="S66" s="25"/>
      <c r="T66" s="25"/>
      <c r="U66" s="25"/>
      <c r="V66" s="25"/>
      <c r="W66" s="25"/>
      <c r="X66" s="25"/>
      <c r="Y66" s="25"/>
      <c r="Z66" s="25"/>
    </row>
    <row r="67" ht="13.5" customHeight="1">
      <c r="A67" s="25"/>
      <c r="B67" s="25"/>
      <c r="C67" s="25"/>
      <c r="D67" s="25"/>
      <c r="E67" s="25"/>
      <c r="F67" s="25"/>
      <c r="G67" s="25"/>
      <c r="H67" s="25"/>
      <c r="I67" s="25"/>
      <c r="J67" s="25"/>
      <c r="K67" s="25"/>
      <c r="L67" s="25"/>
      <c r="M67" s="25"/>
      <c r="N67" s="25"/>
      <c r="O67" s="25"/>
      <c r="P67" s="25"/>
      <c r="Q67" s="25"/>
      <c r="R67" s="25"/>
      <c r="S67" s="25"/>
      <c r="T67" s="25"/>
      <c r="U67" s="25"/>
      <c r="V67" s="25"/>
      <c r="W67" s="25"/>
      <c r="X67" s="25"/>
      <c r="Y67" s="25"/>
      <c r="Z67" s="25"/>
    </row>
    <row r="68" ht="13.5" customHeight="1">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row>
    <row r="69" ht="13.5" customHeight="1">
      <c r="A69" s="25"/>
      <c r="B69" s="25"/>
      <c r="C69" s="25"/>
      <c r="D69" s="25"/>
      <c r="E69" s="25"/>
      <c r="F69" s="25"/>
      <c r="G69" s="25"/>
      <c r="H69" s="25"/>
      <c r="I69" s="25"/>
      <c r="J69" s="25"/>
      <c r="K69" s="25"/>
      <c r="L69" s="25"/>
      <c r="M69" s="25"/>
      <c r="N69" s="25"/>
      <c r="O69" s="25"/>
      <c r="P69" s="25"/>
      <c r="Q69" s="25"/>
      <c r="R69" s="25"/>
      <c r="S69" s="25"/>
      <c r="T69" s="25"/>
      <c r="U69" s="25"/>
      <c r="V69" s="25"/>
      <c r="W69" s="25"/>
      <c r="X69" s="25"/>
      <c r="Y69" s="25"/>
      <c r="Z69" s="25"/>
    </row>
    <row r="70" ht="13.5" customHeight="1">
      <c r="A70" s="25"/>
      <c r="B70" s="25"/>
      <c r="C70" s="25"/>
      <c r="D70" s="25"/>
      <c r="E70" s="25"/>
      <c r="F70" s="25"/>
      <c r="G70" s="25"/>
      <c r="H70" s="25"/>
      <c r="I70" s="25"/>
      <c r="J70" s="25"/>
      <c r="K70" s="25"/>
      <c r="L70" s="25"/>
      <c r="M70" s="25"/>
      <c r="N70" s="25"/>
      <c r="O70" s="25"/>
      <c r="P70" s="25"/>
      <c r="Q70" s="25"/>
      <c r="R70" s="25"/>
      <c r="S70" s="25"/>
      <c r="T70" s="25"/>
      <c r="U70" s="25"/>
      <c r="V70" s="25"/>
      <c r="W70" s="25"/>
      <c r="X70" s="25"/>
      <c r="Y70" s="25"/>
      <c r="Z70" s="25"/>
    </row>
    <row r="71" ht="13.5" customHeight="1">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row>
    <row r="72" ht="13.5" customHeight="1">
      <c r="A72" s="25"/>
      <c r="B72" s="25"/>
      <c r="C72" s="25"/>
      <c r="D72" s="25"/>
      <c r="E72" s="25"/>
      <c r="F72" s="25"/>
      <c r="G72" s="25"/>
      <c r="H72" s="25"/>
      <c r="I72" s="25"/>
      <c r="J72" s="25"/>
      <c r="K72" s="25"/>
      <c r="L72" s="25"/>
      <c r="M72" s="25"/>
      <c r="N72" s="25"/>
      <c r="O72" s="25"/>
      <c r="P72" s="25"/>
      <c r="Q72" s="25"/>
      <c r="R72" s="25"/>
      <c r="S72" s="25"/>
      <c r="T72" s="25"/>
      <c r="U72" s="25"/>
      <c r="V72" s="25"/>
      <c r="W72" s="25"/>
      <c r="X72" s="25"/>
      <c r="Y72" s="25"/>
      <c r="Z72" s="25"/>
    </row>
    <row r="73" ht="13.5" customHeight="1">
      <c r="A73" s="25"/>
      <c r="B73" s="25"/>
      <c r="C73" s="25"/>
      <c r="D73" s="25"/>
      <c r="E73" s="25"/>
      <c r="F73" s="25"/>
      <c r="G73" s="25"/>
      <c r="H73" s="25"/>
      <c r="I73" s="25"/>
      <c r="J73" s="25"/>
      <c r="K73" s="25"/>
      <c r="L73" s="25"/>
      <c r="M73" s="25"/>
      <c r="N73" s="25"/>
      <c r="O73" s="25"/>
      <c r="P73" s="25"/>
      <c r="Q73" s="25"/>
      <c r="R73" s="25"/>
      <c r="S73" s="25"/>
      <c r="T73" s="25"/>
      <c r="U73" s="25"/>
      <c r="V73" s="25"/>
      <c r="W73" s="25"/>
      <c r="X73" s="25"/>
      <c r="Y73" s="25"/>
      <c r="Z73" s="25"/>
    </row>
    <row r="74" ht="13.5" customHeight="1">
      <c r="A74" s="25"/>
      <c r="B74" s="25"/>
      <c r="C74" s="25"/>
      <c r="D74" s="25"/>
      <c r="E74" s="25"/>
      <c r="F74" s="25"/>
      <c r="G74" s="25"/>
      <c r="H74" s="25"/>
      <c r="I74" s="25"/>
      <c r="J74" s="25"/>
      <c r="K74" s="25"/>
      <c r="L74" s="25"/>
      <c r="M74" s="25"/>
      <c r="N74" s="25"/>
      <c r="O74" s="25"/>
      <c r="P74" s="25"/>
      <c r="Q74" s="25"/>
      <c r="R74" s="25"/>
      <c r="S74" s="25"/>
      <c r="T74" s="25"/>
      <c r="U74" s="25"/>
      <c r="V74" s="25"/>
      <c r="W74" s="25"/>
      <c r="X74" s="25"/>
      <c r="Y74" s="25"/>
      <c r="Z74" s="25"/>
    </row>
    <row r="75" ht="13.5" customHeight="1">
      <c r="A75" s="25"/>
      <c r="B75" s="25"/>
      <c r="C75" s="25"/>
      <c r="D75" s="25"/>
      <c r="E75" s="25"/>
      <c r="F75" s="25"/>
      <c r="G75" s="25"/>
      <c r="H75" s="25"/>
      <c r="I75" s="25"/>
      <c r="J75" s="25"/>
      <c r="K75" s="25"/>
      <c r="L75" s="25"/>
      <c r="M75" s="25"/>
      <c r="N75" s="25"/>
      <c r="O75" s="25"/>
      <c r="P75" s="25"/>
      <c r="Q75" s="25"/>
      <c r="R75" s="25"/>
      <c r="S75" s="25"/>
      <c r="T75" s="25"/>
      <c r="U75" s="25"/>
      <c r="V75" s="25"/>
      <c r="W75" s="25"/>
      <c r="X75" s="25"/>
      <c r="Y75" s="25"/>
      <c r="Z75" s="25"/>
    </row>
    <row r="76" ht="13.5" customHeight="1">
      <c r="A76" s="25"/>
      <c r="B76" s="25"/>
      <c r="C76" s="25"/>
      <c r="D76" s="25"/>
      <c r="E76" s="25"/>
      <c r="F76" s="25"/>
      <c r="G76" s="25"/>
      <c r="H76" s="25"/>
      <c r="I76" s="25"/>
      <c r="J76" s="25"/>
      <c r="K76" s="25"/>
      <c r="L76" s="25"/>
      <c r="M76" s="25"/>
      <c r="N76" s="25"/>
      <c r="O76" s="25"/>
      <c r="P76" s="25"/>
      <c r="Q76" s="25"/>
      <c r="R76" s="25"/>
      <c r="S76" s="25"/>
      <c r="T76" s="25"/>
      <c r="U76" s="25"/>
      <c r="V76" s="25"/>
      <c r="W76" s="25"/>
      <c r="X76" s="25"/>
      <c r="Y76" s="25"/>
      <c r="Z76" s="25"/>
    </row>
    <row r="77" ht="13.5" customHeight="1">
      <c r="A77" s="25"/>
      <c r="B77" s="25"/>
      <c r="C77" s="25"/>
      <c r="D77" s="25"/>
      <c r="E77" s="25"/>
      <c r="F77" s="25"/>
      <c r="G77" s="25"/>
      <c r="H77" s="25"/>
      <c r="I77" s="25"/>
      <c r="J77" s="25"/>
      <c r="K77" s="25"/>
      <c r="L77" s="25"/>
      <c r="M77" s="25"/>
      <c r="N77" s="25"/>
      <c r="O77" s="25"/>
      <c r="P77" s="25"/>
      <c r="Q77" s="25"/>
      <c r="R77" s="25"/>
      <c r="S77" s="25"/>
      <c r="T77" s="25"/>
      <c r="U77" s="25"/>
      <c r="V77" s="25"/>
      <c r="W77" s="25"/>
      <c r="X77" s="25"/>
      <c r="Y77" s="25"/>
      <c r="Z77" s="25"/>
    </row>
    <row r="78" ht="13.5" customHeight="1">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row>
    <row r="79" ht="13.5" customHeight="1">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row>
    <row r="80" ht="13.5" customHeight="1">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row>
    <row r="81" ht="13.5" customHeight="1">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row>
    <row r="82" ht="13.5" customHeight="1">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row>
    <row r="83" ht="13.5" customHeight="1">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row>
    <row r="84" ht="13.5" customHeight="1">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row>
    <row r="85" ht="13.5" customHeight="1">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row>
    <row r="86" ht="13.5" customHeight="1">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row>
    <row r="87" ht="13.5" customHeight="1">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row>
    <row r="88" ht="13.5" customHeight="1">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row>
    <row r="89" ht="13.5" customHeight="1">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row>
    <row r="90" ht="13.5" customHeight="1">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row>
    <row r="91" ht="13.5" customHeight="1">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row>
    <row r="92" ht="13.5" customHeight="1">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row>
    <row r="93" ht="13.5" customHeight="1">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row>
    <row r="94" ht="13.5" customHeight="1">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row>
    <row r="95" ht="13.5" customHeight="1">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row>
    <row r="96" ht="13.5" customHeight="1">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row>
    <row r="97" ht="13.5" customHeight="1">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row>
    <row r="98" ht="13.5" customHeight="1">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row>
    <row r="99" ht="13.5" customHeight="1">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row>
    <row r="100" ht="13.5" customHeight="1">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row>
    <row r="101" ht="13.5" customHeight="1">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row>
    <row r="102" ht="13.5" customHeight="1">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row>
    <row r="103" ht="13.5" customHeight="1">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row>
    <row r="104" ht="13.5" customHeight="1">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row>
    <row r="105" ht="13.5" customHeight="1">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row>
    <row r="106" ht="13.5" customHeight="1">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row>
    <row r="107" ht="13.5" customHeight="1">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row>
    <row r="108" ht="13.5" customHeight="1">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row>
    <row r="109" ht="13.5" customHeight="1">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row>
    <row r="110" ht="13.5" customHeight="1">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row>
    <row r="111" ht="13.5" customHeight="1">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row>
    <row r="112" ht="13.5" customHeight="1">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row>
    <row r="113" ht="13.5" customHeight="1">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row>
    <row r="114" ht="13.5" customHeight="1">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row>
    <row r="115" ht="13.5" customHeight="1">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row>
    <row r="116" ht="13.5" customHeight="1">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row>
    <row r="117" ht="13.5" customHeight="1">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row>
    <row r="118" ht="13.5" customHeight="1">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row>
    <row r="119" ht="13.5" customHeight="1">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row>
    <row r="120" ht="13.5" customHeight="1">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row>
    <row r="121" ht="13.5" customHeight="1">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row>
    <row r="122" ht="13.5" customHeight="1">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row>
    <row r="123" ht="13.5" customHeight="1">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row>
    <row r="124" ht="13.5" customHeight="1">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row>
    <row r="125" ht="13.5" customHeight="1">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row>
    <row r="126" ht="13.5" customHeight="1">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row>
    <row r="127" ht="13.5" customHeight="1">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row>
    <row r="128" ht="13.5" customHeight="1">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row>
    <row r="129" ht="13.5" customHeight="1">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row>
    <row r="130" ht="13.5" customHeight="1">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row>
    <row r="131" ht="13.5" customHeight="1">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row>
    <row r="132" ht="13.5" customHeight="1">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row>
    <row r="133" ht="13.5" customHeight="1">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row>
    <row r="134" ht="13.5" customHeight="1">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row>
    <row r="135" ht="13.5" customHeight="1">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row>
    <row r="136" ht="13.5" customHeight="1">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row>
    <row r="137" ht="13.5" customHeight="1">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row>
    <row r="138" ht="13.5" customHeight="1">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row>
    <row r="139" ht="13.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row>
    <row r="140" ht="13.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row>
    <row r="141" ht="13.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row>
    <row r="142" ht="13.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row>
    <row r="143" ht="13.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row>
    <row r="144" ht="13.5" customHeight="1">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row>
    <row r="145" ht="13.5" customHeight="1">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row>
    <row r="146" ht="13.5" customHeight="1">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row>
    <row r="147" ht="13.5" customHeight="1">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row>
    <row r="148" ht="13.5" customHeight="1">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row>
    <row r="149" ht="13.5" customHeight="1">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row>
    <row r="150" ht="13.5" customHeight="1">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row>
    <row r="151" ht="13.5" customHeight="1">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row>
    <row r="152" ht="13.5" customHeight="1">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row>
    <row r="153" ht="13.5" customHeight="1">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row>
    <row r="154" ht="13.5" customHeight="1">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row>
    <row r="155" ht="13.5" customHeight="1">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row>
    <row r="156" ht="13.5" customHeight="1">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row>
    <row r="157" ht="13.5" customHeight="1">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row>
    <row r="158" ht="13.5" customHeight="1">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row>
    <row r="159" ht="13.5" customHeight="1">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row>
    <row r="160" ht="13.5" customHeight="1">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row>
    <row r="161" ht="13.5" customHeight="1">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row>
    <row r="162" ht="13.5" customHeight="1">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row>
    <row r="163" ht="13.5" customHeight="1">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row>
    <row r="164" ht="13.5" customHeight="1">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row>
    <row r="165" ht="13.5" customHeight="1">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row>
    <row r="166" ht="13.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row>
    <row r="167" ht="13.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row>
    <row r="168" ht="13.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row>
    <row r="169" ht="13.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row>
    <row r="170" ht="13.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row>
    <row r="171" ht="13.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row>
    <row r="172" ht="13.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row>
    <row r="173" ht="13.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row>
    <row r="174" ht="13.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row>
    <row r="175" ht="13.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row>
    <row r="176" ht="13.5" customHeight="1">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row>
    <row r="177" ht="13.5" customHeight="1">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row>
    <row r="178" ht="13.5" customHeight="1">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row>
    <row r="179" ht="13.5" customHeight="1">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row>
    <row r="180" ht="13.5" customHeight="1">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row>
    <row r="181" ht="13.5" customHeight="1">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row>
    <row r="182" ht="13.5" customHeight="1">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row>
    <row r="183" ht="13.5" customHeight="1">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row>
    <row r="184" ht="13.5" customHeight="1">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row>
    <row r="185" ht="13.5" customHeight="1">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row>
    <row r="186" ht="13.5" customHeight="1">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row>
    <row r="187" ht="13.5" customHeight="1">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row>
    <row r="188" ht="13.5" customHeight="1">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row>
    <row r="189" ht="13.5" customHeight="1">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row>
    <row r="190" ht="13.5" customHeight="1">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row>
    <row r="191" ht="13.5" customHeight="1">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row>
    <row r="192" ht="13.5" customHeight="1">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row>
    <row r="193" ht="13.5" customHeight="1">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row>
    <row r="194" ht="13.5" customHeight="1">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row>
    <row r="195" ht="13.5" customHeight="1">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row>
    <row r="196" ht="13.5" customHeight="1">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row>
    <row r="197" ht="13.5" customHeight="1">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row>
    <row r="198" ht="13.5" customHeight="1">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row>
    <row r="199" ht="13.5" customHeight="1">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row>
    <row r="200" ht="13.5" customHeight="1">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row>
    <row r="201" ht="13.5" customHeight="1">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row>
    <row r="202" ht="13.5" customHeight="1">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row>
    <row r="203" ht="13.5" customHeight="1">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row>
    <row r="204" ht="13.5" customHeight="1">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row>
    <row r="205" ht="13.5" customHeight="1">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row>
    <row r="206" ht="13.5" customHeight="1">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row>
    <row r="207" ht="13.5" customHeight="1">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row>
    <row r="208" ht="13.5" customHeight="1">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row>
    <row r="209" ht="13.5" customHeight="1">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row>
    <row r="210" ht="13.5" customHeight="1">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row>
    <row r="211" ht="13.5" customHeight="1">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row>
    <row r="212" ht="13.5" customHeight="1">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row>
    <row r="213" ht="13.5" customHeight="1">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row>
    <row r="214" ht="13.5" customHeight="1">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row>
    <row r="215" ht="13.5" customHeight="1">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row>
    <row r="216" ht="13.5" customHeight="1">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row>
    <row r="217" ht="13.5" customHeight="1">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row>
    <row r="218" ht="13.5" customHeight="1">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row>
    <row r="219" ht="13.5" customHeight="1">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row>
    <row r="220" ht="13.5" customHeight="1">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row>
    <row r="221" ht="13.5" customHeight="1">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row>
    <row r="222" ht="13.5" customHeight="1">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row>
    <row r="223" ht="13.5" customHeight="1">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row>
    <row r="224" ht="13.5" customHeight="1">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row>
    <row r="225" ht="13.5" customHeight="1">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row>
    <row r="226" ht="13.5" customHeight="1">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row>
    <row r="227" ht="13.5" customHeight="1">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row>
    <row r="228" ht="13.5" customHeight="1">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row>
    <row r="229" ht="13.5" customHeight="1">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row>
    <row r="230" ht="13.5" customHeight="1">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row>
    <row r="231" ht="13.5" customHeight="1">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row>
    <row r="232" ht="13.5" customHeight="1">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row>
    <row r="233" ht="13.5" customHeight="1">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row>
    <row r="234" ht="13.5" customHeight="1">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row>
    <row r="235" ht="13.5" customHeight="1">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row>
    <row r="236" ht="13.5" customHeight="1">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row>
    <row r="237" ht="13.5" customHeight="1">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row>
    <row r="238" ht="13.5" customHeight="1">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row>
    <row r="239" ht="13.5" customHeight="1">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row>
    <row r="240" ht="13.5" customHeight="1">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row>
    <row r="241" ht="13.5" customHeight="1">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row>
    <row r="242" ht="13.5" customHeight="1">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row>
    <row r="243" ht="13.5" customHeight="1">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row>
    <row r="244" ht="13.5" customHeight="1">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row>
    <row r="245" ht="13.5" customHeight="1">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row>
    <row r="246" ht="13.5" customHeight="1">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row>
    <row r="247" ht="13.5" customHeight="1">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row>
    <row r="248" ht="13.5" customHeight="1">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row>
    <row r="249" ht="13.5" customHeight="1">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row>
    <row r="250" ht="13.5" customHeight="1">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row>
    <row r="251" ht="13.5" customHeight="1">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row>
    <row r="252" ht="13.5" customHeight="1">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row>
    <row r="253" ht="13.5" customHeight="1">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row>
    <row r="254" ht="13.5" customHeight="1">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row>
    <row r="255" ht="13.5" customHeight="1">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row>
    <row r="256" ht="13.5" customHeight="1">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row>
    <row r="257" ht="13.5" customHeight="1">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row>
    <row r="258" ht="13.5" customHeight="1">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row>
    <row r="259" ht="13.5" customHeight="1">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row>
    <row r="260" ht="13.5" customHeight="1">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row>
    <row r="261" ht="13.5" customHeight="1">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row>
    <row r="262" ht="13.5" customHeight="1">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row>
    <row r="263" ht="13.5" customHeight="1">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row>
    <row r="264" ht="13.5" customHeight="1">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row>
    <row r="265" ht="13.5" customHeight="1">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row>
    <row r="266" ht="13.5" customHeight="1">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row>
    <row r="267" ht="13.5" customHeight="1">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row>
    <row r="268" ht="13.5" customHeight="1">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row>
    <row r="269" ht="13.5" customHeight="1">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row>
    <row r="270" ht="13.5" customHeight="1">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row>
    <row r="271" ht="13.5" customHeight="1">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row>
    <row r="272" ht="13.5" customHeight="1">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row>
    <row r="273" ht="13.5" customHeight="1">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row>
    <row r="274" ht="13.5" customHeight="1">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row>
    <row r="275" ht="13.5" customHeight="1">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row>
    <row r="276" ht="13.5" customHeight="1">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row>
    <row r="277" ht="13.5" customHeight="1">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row>
    <row r="278" ht="13.5" customHeight="1">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row>
    <row r="279" ht="13.5" customHeight="1">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row>
    <row r="280" ht="13.5" customHeight="1">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row>
    <row r="281" ht="13.5" customHeight="1">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row>
    <row r="282" ht="13.5" customHeight="1">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row>
    <row r="283" ht="13.5" customHeight="1">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row>
    <row r="284" ht="13.5" customHeight="1">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row>
    <row r="285" ht="13.5" customHeight="1">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row>
    <row r="286" ht="13.5" customHeight="1">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row>
    <row r="287" ht="13.5" customHeight="1">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row>
    <row r="288" ht="13.5" customHeight="1">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row>
    <row r="289" ht="13.5" customHeight="1">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row>
    <row r="290" ht="13.5" customHeight="1">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row>
    <row r="291" ht="13.5" customHeight="1">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row>
    <row r="292" ht="13.5" customHeight="1">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row>
    <row r="293" ht="13.5" customHeight="1">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row>
    <row r="294" ht="13.5" customHeight="1">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row>
    <row r="295" ht="13.5" customHeight="1">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row>
    <row r="296" ht="13.5" customHeight="1">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row>
    <row r="297" ht="13.5" customHeight="1">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row>
    <row r="298" ht="13.5" customHeight="1">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row>
    <row r="299" ht="13.5" customHeight="1">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row>
    <row r="300" ht="13.5" customHeight="1">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row>
    <row r="301" ht="13.5" customHeight="1">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row>
    <row r="302" ht="13.5" customHeight="1">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row>
    <row r="303" ht="13.5" customHeight="1">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row>
    <row r="304" ht="13.5" customHeight="1">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row>
    <row r="305" ht="13.5" customHeight="1">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row>
    <row r="306" ht="13.5" customHeight="1">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row>
    <row r="307" ht="13.5" customHeight="1">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row>
    <row r="308" ht="13.5" customHeight="1">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row>
    <row r="309" ht="13.5" customHeight="1">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row>
    <row r="310" ht="13.5" customHeight="1">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row>
    <row r="311" ht="13.5" customHeight="1">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row>
    <row r="312" ht="13.5" customHeight="1">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row>
    <row r="313" ht="13.5" customHeight="1">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row>
    <row r="314" ht="13.5" customHeight="1">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row>
    <row r="315" ht="13.5" customHeight="1">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row>
    <row r="316" ht="13.5" customHeight="1">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row>
    <row r="317" ht="13.5" customHeight="1">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row>
    <row r="318" ht="13.5" customHeight="1">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row>
    <row r="319" ht="13.5" customHeight="1">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row>
    <row r="320" ht="13.5" customHeight="1">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row>
    <row r="321" ht="13.5" customHeight="1">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row>
    <row r="322" ht="13.5" customHeight="1">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row>
    <row r="323" ht="13.5" customHeight="1">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row>
    <row r="324" ht="13.5" customHeight="1">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row>
    <row r="325" ht="13.5" customHeight="1">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row>
    <row r="326" ht="13.5" customHeight="1">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row>
    <row r="327" ht="13.5" customHeight="1">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row>
    <row r="328" ht="13.5" customHeight="1">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row>
    <row r="329" ht="13.5" customHeight="1">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row>
    <row r="330" ht="13.5" customHeight="1">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row>
    <row r="331" ht="13.5" customHeight="1">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row>
    <row r="332" ht="13.5" customHeight="1">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row>
    <row r="333" ht="13.5" customHeight="1">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row>
    <row r="334" ht="13.5" customHeight="1">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row>
    <row r="335" ht="13.5" customHeight="1">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row>
    <row r="336" ht="13.5" customHeight="1">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row>
    <row r="337" ht="13.5" customHeight="1">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row>
    <row r="338" ht="13.5" customHeight="1">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row>
    <row r="339" ht="13.5" customHeight="1">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row>
    <row r="340" ht="13.5" customHeight="1">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row>
    <row r="341" ht="13.5" customHeight="1">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row>
    <row r="342" ht="13.5" customHeight="1">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row>
    <row r="343" ht="13.5" customHeight="1">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row>
    <row r="344" ht="13.5" customHeight="1">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row>
    <row r="345" ht="13.5" customHeight="1">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row>
    <row r="346" ht="13.5" customHeight="1">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row>
    <row r="347" ht="13.5" customHeight="1">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row>
    <row r="348" ht="13.5" customHeight="1">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row>
    <row r="349" ht="13.5" customHeight="1">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row>
    <row r="350" ht="13.5" customHeight="1">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row>
    <row r="351" ht="13.5" customHeight="1">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row>
    <row r="352" ht="13.5" customHeight="1">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row>
    <row r="353" ht="13.5" customHeight="1">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row>
    <row r="354" ht="13.5" customHeight="1">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row>
    <row r="355" ht="13.5" customHeight="1">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row>
    <row r="356" ht="13.5" customHeight="1">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row>
    <row r="357" ht="13.5" customHeight="1">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row>
    <row r="358" ht="13.5" customHeight="1">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row>
    <row r="359" ht="13.5" customHeight="1">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row>
    <row r="360" ht="13.5" customHeight="1">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row>
    <row r="361" ht="13.5" customHeight="1">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row>
    <row r="362" ht="13.5" customHeight="1">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row>
    <row r="363" ht="13.5" customHeight="1">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row>
    <row r="364" ht="13.5" customHeight="1">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row>
    <row r="365" ht="13.5" customHeight="1">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row>
    <row r="366" ht="13.5" customHeight="1">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row>
    <row r="367" ht="13.5" customHeight="1">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row>
    <row r="368" ht="13.5" customHeight="1">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row>
    <row r="369" ht="13.5" customHeight="1">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row>
    <row r="370" ht="13.5" customHeight="1">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row>
    <row r="371" ht="13.5" customHeight="1">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row>
    <row r="372" ht="13.5" customHeight="1">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row>
    <row r="373" ht="13.5" customHeight="1">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row>
    <row r="374" ht="13.5" customHeight="1">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row>
    <row r="375" ht="13.5" customHeight="1">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row>
    <row r="376" ht="13.5" customHeight="1">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row>
    <row r="377" ht="13.5" customHeight="1">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row>
    <row r="378" ht="13.5" customHeight="1">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row>
    <row r="379" ht="13.5" customHeight="1">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row>
    <row r="380" ht="13.5" customHeight="1">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row>
    <row r="381" ht="13.5" customHeight="1">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row>
    <row r="382" ht="13.5" customHeight="1">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row>
    <row r="383" ht="13.5" customHeight="1">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row>
    <row r="384" ht="13.5" customHeight="1">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row>
    <row r="385" ht="13.5" customHeight="1">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row>
    <row r="386" ht="13.5" customHeight="1">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row>
    <row r="387" ht="13.5" customHeight="1">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row>
    <row r="388" ht="13.5" customHeight="1">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row>
    <row r="389" ht="13.5" customHeight="1">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row>
    <row r="390" ht="13.5" customHeight="1">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row>
    <row r="391" ht="13.5" customHeight="1">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row>
    <row r="392" ht="13.5" customHeight="1">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row>
    <row r="393" ht="13.5" customHeight="1">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row>
    <row r="394" ht="13.5" customHeight="1">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row>
    <row r="395" ht="13.5" customHeight="1">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row>
    <row r="396" ht="13.5" customHeight="1">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row>
    <row r="397" ht="13.5" customHeight="1">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row>
    <row r="398" ht="13.5" customHeight="1">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row>
    <row r="399" ht="13.5" customHeight="1">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row>
    <row r="400" ht="13.5" customHeight="1">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row>
    <row r="401" ht="13.5" customHeight="1">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row>
    <row r="402" ht="13.5" customHeight="1">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row>
    <row r="403" ht="13.5" customHeight="1">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row>
    <row r="404" ht="13.5" customHeight="1">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row>
    <row r="405" ht="13.5" customHeight="1">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row>
    <row r="406" ht="13.5" customHeight="1">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row>
    <row r="407" ht="13.5" customHeight="1">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row>
    <row r="408" ht="13.5" customHeight="1">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row>
    <row r="409" ht="13.5" customHeight="1">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row>
    <row r="410" ht="13.5" customHeight="1">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row>
    <row r="411" ht="13.5" customHeight="1">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row>
    <row r="412" ht="13.5" customHeight="1">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row>
    <row r="413" ht="13.5" customHeight="1">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row>
    <row r="414" ht="13.5" customHeight="1">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row>
    <row r="415" ht="13.5" customHeight="1">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row>
    <row r="416" ht="13.5" customHeight="1">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row>
    <row r="417" ht="13.5" customHeight="1">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row>
    <row r="418" ht="13.5" customHeight="1">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row>
    <row r="419" ht="13.5" customHeight="1">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row>
    <row r="420" ht="13.5" customHeight="1">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row>
    <row r="421" ht="13.5" customHeight="1">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row>
    <row r="422" ht="13.5" customHeight="1">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row>
    <row r="423" ht="13.5" customHeight="1">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row>
    <row r="424" ht="13.5" customHeight="1">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row>
    <row r="425" ht="13.5" customHeight="1">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row>
    <row r="426" ht="13.5" customHeight="1">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row>
    <row r="427" ht="13.5" customHeight="1">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row>
    <row r="428" ht="13.5" customHeight="1">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row>
    <row r="429" ht="13.5" customHeight="1">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row>
    <row r="430" ht="13.5" customHeight="1">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row>
    <row r="431" ht="13.5" customHeight="1">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row>
    <row r="432" ht="13.5" customHeight="1">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row>
    <row r="433" ht="13.5" customHeight="1">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row>
    <row r="434" ht="13.5" customHeight="1">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row>
    <row r="435" ht="13.5" customHeight="1">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row>
    <row r="436" ht="13.5" customHeight="1">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row>
    <row r="437" ht="13.5" customHeight="1">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row>
    <row r="438" ht="13.5" customHeight="1">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row>
    <row r="439" ht="13.5" customHeight="1">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row>
    <row r="440" ht="13.5" customHeight="1">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row>
    <row r="441" ht="13.5" customHeight="1">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row>
    <row r="442" ht="13.5" customHeight="1">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row>
    <row r="443" ht="13.5" customHeight="1">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row>
    <row r="444" ht="13.5" customHeight="1">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row>
    <row r="445" ht="13.5" customHeight="1">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row>
    <row r="446" ht="13.5" customHeight="1">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row>
    <row r="447" ht="13.5" customHeight="1">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row>
    <row r="448" ht="13.5" customHeight="1">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row>
    <row r="449" ht="13.5" customHeight="1">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row>
    <row r="450" ht="13.5" customHeight="1">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row>
    <row r="451" ht="13.5" customHeight="1">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row>
    <row r="452" ht="13.5" customHeight="1">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row>
    <row r="453" ht="13.5" customHeight="1">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row>
    <row r="454" ht="13.5" customHeight="1">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row>
    <row r="455" ht="13.5" customHeight="1">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row>
    <row r="456" ht="13.5" customHeight="1">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row>
    <row r="457" ht="13.5" customHeight="1">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row>
    <row r="458" ht="13.5" customHeight="1">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row>
    <row r="459" ht="13.5" customHeight="1">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row>
    <row r="460" ht="13.5" customHeight="1">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row>
    <row r="461" ht="13.5" customHeight="1">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row>
    <row r="462" ht="13.5" customHeight="1">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row>
    <row r="463" ht="13.5" customHeight="1">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row>
    <row r="464" ht="13.5" customHeight="1">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row>
    <row r="465" ht="13.5" customHeight="1">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row>
    <row r="466" ht="13.5" customHeight="1">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row>
    <row r="467" ht="13.5" customHeight="1">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row>
    <row r="468" ht="13.5" customHeight="1">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row>
    <row r="469" ht="13.5" customHeight="1">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row>
    <row r="470" ht="13.5" customHeight="1">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row>
    <row r="471" ht="13.5" customHeight="1">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row>
    <row r="472" ht="13.5" customHeight="1">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row>
    <row r="473" ht="13.5" customHeight="1">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row>
    <row r="474" ht="13.5" customHeight="1">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row>
    <row r="475" ht="13.5" customHeight="1">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row>
    <row r="476" ht="13.5" customHeight="1">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row>
    <row r="477" ht="13.5" customHeight="1">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row>
    <row r="478" ht="13.5" customHeight="1">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row>
    <row r="479" ht="13.5" customHeight="1">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row>
    <row r="480" ht="13.5" customHeight="1">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row>
    <row r="481" ht="13.5" customHeight="1">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row>
    <row r="482" ht="13.5" customHeight="1">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row>
    <row r="483" ht="13.5" customHeight="1">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row>
    <row r="484" ht="13.5" customHeight="1">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row>
    <row r="485" ht="13.5" customHeight="1">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row>
    <row r="486" ht="13.5" customHeight="1">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row>
    <row r="487" ht="13.5" customHeight="1">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row>
    <row r="488" ht="13.5" customHeight="1">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row>
    <row r="489" ht="13.5" customHeight="1">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row>
    <row r="490" ht="13.5" customHeight="1">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row>
    <row r="491" ht="13.5" customHeight="1">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row>
    <row r="492" ht="13.5" customHeight="1">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row>
    <row r="493" ht="13.5" customHeight="1">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row>
    <row r="494" ht="13.5" customHeight="1">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row>
    <row r="495" ht="13.5" customHeight="1">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row>
    <row r="496" ht="13.5" customHeight="1">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row>
    <row r="497" ht="13.5" customHeight="1">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row>
    <row r="498" ht="13.5" customHeight="1">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row>
    <row r="499" ht="13.5" customHeight="1">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row>
    <row r="500" ht="13.5" customHeight="1">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row>
    <row r="501" ht="13.5" customHeight="1">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row>
    <row r="502" ht="13.5" customHeight="1">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row>
    <row r="503" ht="13.5" customHeight="1">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row>
    <row r="504" ht="13.5" customHeight="1">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row>
    <row r="505" ht="13.5" customHeight="1">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row>
    <row r="506" ht="13.5" customHeight="1">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row>
    <row r="507" ht="13.5" customHeight="1">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row>
    <row r="508" ht="13.5" customHeight="1">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row>
    <row r="509" ht="13.5" customHeight="1">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row>
    <row r="510" ht="13.5" customHeight="1">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row>
    <row r="511" ht="13.5" customHeight="1">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row>
    <row r="512" ht="13.5" customHeight="1">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row>
    <row r="513" ht="13.5" customHeight="1">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row>
    <row r="514" ht="13.5" customHeight="1">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row>
    <row r="515" ht="13.5" customHeight="1">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row>
    <row r="516" ht="13.5" customHeight="1">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row>
    <row r="517" ht="13.5" customHeight="1">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row>
    <row r="518" ht="13.5" customHeight="1">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row>
    <row r="519" ht="13.5" customHeight="1">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row>
    <row r="520" ht="13.5" customHeight="1">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row>
    <row r="521" ht="13.5" customHeight="1">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row>
    <row r="522" ht="13.5" customHeight="1">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row>
    <row r="523" ht="13.5" customHeight="1">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row>
    <row r="524" ht="13.5" customHeight="1">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row>
    <row r="525" ht="13.5" customHeight="1">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row>
    <row r="526" ht="13.5" customHeight="1">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row>
    <row r="527" ht="13.5" customHeight="1">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row>
    <row r="528" ht="13.5" customHeight="1">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row>
    <row r="529" ht="13.5" customHeight="1">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row>
    <row r="530" ht="13.5" customHeight="1">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row>
    <row r="531" ht="13.5" customHeight="1">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row>
    <row r="532" ht="13.5" customHeight="1">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row>
    <row r="533" ht="13.5" customHeight="1">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row>
    <row r="534" ht="13.5" customHeight="1">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row>
    <row r="535" ht="13.5" customHeight="1">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row>
    <row r="536" ht="13.5" customHeight="1">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row>
    <row r="537" ht="13.5" customHeight="1">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row>
    <row r="538" ht="13.5" customHeight="1">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row>
    <row r="539" ht="13.5" customHeight="1">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row>
    <row r="540" ht="13.5" customHeight="1">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row>
    <row r="541" ht="13.5" customHeight="1">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row>
    <row r="542" ht="13.5" customHeight="1">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row>
    <row r="543" ht="13.5" customHeight="1">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row>
    <row r="544" ht="13.5" customHeight="1">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row>
    <row r="545" ht="13.5" customHeight="1">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row>
    <row r="546" ht="13.5" customHeight="1">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row>
    <row r="547" ht="13.5" customHeight="1">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row>
    <row r="548" ht="13.5" customHeight="1">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row>
    <row r="549" ht="13.5" customHeight="1">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row>
    <row r="550" ht="13.5" customHeight="1">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row>
    <row r="551" ht="13.5" customHeight="1">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row>
    <row r="552" ht="13.5" customHeight="1">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row>
    <row r="553" ht="13.5" customHeight="1">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row>
    <row r="554" ht="13.5" customHeight="1">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row>
    <row r="555" ht="13.5" customHeight="1">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row>
    <row r="556" ht="13.5" customHeight="1">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row>
    <row r="557" ht="13.5" customHeight="1">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row>
    <row r="558" ht="13.5" customHeight="1">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row>
    <row r="559" ht="13.5" customHeight="1">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row>
    <row r="560" ht="13.5" customHeight="1">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row>
    <row r="561" ht="13.5" customHeight="1">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row>
    <row r="562" ht="13.5" customHeight="1">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row>
    <row r="563" ht="13.5" customHeight="1">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row>
    <row r="564" ht="13.5" customHeight="1">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row>
    <row r="565" ht="13.5" customHeight="1">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row>
    <row r="566" ht="13.5" customHeight="1">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row>
    <row r="567" ht="13.5" customHeight="1">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row>
    <row r="568" ht="13.5" customHeight="1">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row>
    <row r="569" ht="13.5" customHeight="1">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row>
    <row r="570" ht="13.5" customHeight="1">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row>
    <row r="571" ht="13.5" customHeight="1">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row>
    <row r="572" ht="13.5" customHeight="1">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row>
    <row r="573" ht="13.5" customHeight="1">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row>
    <row r="574" ht="13.5" customHeight="1">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row>
    <row r="575" ht="13.5" customHeight="1">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row>
    <row r="576" ht="13.5" customHeight="1">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row>
    <row r="577" ht="13.5" customHeight="1">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row>
    <row r="578" ht="13.5" customHeight="1">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row>
    <row r="579" ht="13.5" customHeight="1">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row>
    <row r="580" ht="13.5" customHeight="1">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row>
    <row r="581" ht="13.5" customHeight="1">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row>
    <row r="582" ht="13.5" customHeight="1">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row>
    <row r="583" ht="13.5" customHeight="1">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row>
    <row r="584" ht="13.5" customHeight="1">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row>
    <row r="585" ht="13.5" customHeight="1">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row>
    <row r="586" ht="13.5" customHeight="1">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row>
    <row r="587" ht="13.5" customHeight="1">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row>
    <row r="588" ht="13.5" customHeight="1">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row>
    <row r="589" ht="13.5" customHeight="1">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row>
    <row r="590" ht="13.5" customHeight="1">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row>
    <row r="591" ht="13.5" customHeight="1">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row>
    <row r="592" ht="13.5" customHeight="1">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row>
    <row r="593" ht="13.5" customHeight="1">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row>
    <row r="594" ht="13.5" customHeight="1">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row>
    <row r="595" ht="13.5" customHeight="1">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row>
    <row r="596" ht="13.5" customHeight="1">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row>
    <row r="597" ht="13.5" customHeight="1">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row>
    <row r="598" ht="13.5" customHeight="1">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row>
    <row r="599" ht="13.5" customHeight="1">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row>
    <row r="600" ht="13.5" customHeight="1">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row>
    <row r="601" ht="13.5" customHeight="1">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row>
    <row r="602" ht="13.5" customHeight="1">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row>
    <row r="603" ht="13.5" customHeight="1">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row>
    <row r="604" ht="13.5" customHeight="1">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row>
    <row r="605" ht="13.5" customHeight="1">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row>
    <row r="606" ht="13.5" customHeight="1">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row>
    <row r="607" ht="13.5" customHeight="1">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row>
    <row r="608" ht="13.5" customHeight="1">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row>
    <row r="609" ht="13.5" customHeight="1">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row>
    <row r="610" ht="13.5" customHeight="1">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row>
    <row r="611" ht="13.5" customHeight="1">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row>
    <row r="612" ht="13.5" customHeight="1">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row>
    <row r="613" ht="13.5" customHeight="1">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row>
    <row r="614" ht="13.5" customHeight="1">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row>
    <row r="615" ht="13.5" customHeight="1">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row>
    <row r="616" ht="13.5" customHeight="1">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row>
    <row r="617" ht="13.5" customHeight="1">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row>
    <row r="618" ht="13.5" customHeight="1">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row>
    <row r="619" ht="13.5" customHeight="1">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row>
    <row r="620" ht="13.5" customHeight="1">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row>
    <row r="621" ht="13.5" customHeight="1">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row>
    <row r="622" ht="13.5" customHeight="1">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row>
    <row r="623" ht="13.5" customHeight="1">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row>
    <row r="624" ht="13.5" customHeight="1">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row>
    <row r="625" ht="13.5" customHeight="1">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row>
    <row r="626" ht="13.5" customHeight="1">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row>
    <row r="627" ht="13.5" customHeight="1">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row>
    <row r="628" ht="13.5" customHeight="1">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row>
    <row r="629" ht="13.5" customHeight="1">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row>
    <row r="630" ht="13.5" customHeight="1">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row>
    <row r="631" ht="13.5" customHeight="1">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row>
    <row r="632" ht="13.5" customHeight="1">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row>
    <row r="633" ht="13.5" customHeight="1">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row>
    <row r="634" ht="13.5" customHeight="1">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row>
    <row r="635" ht="13.5" customHeight="1">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row>
    <row r="636" ht="13.5" customHeight="1">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row>
    <row r="637" ht="13.5" customHeight="1">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row>
    <row r="638" ht="13.5" customHeight="1">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row>
    <row r="639" ht="13.5" customHeight="1">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row>
    <row r="640" ht="13.5" customHeight="1">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row>
    <row r="641" ht="13.5" customHeight="1">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row>
    <row r="642" ht="13.5" customHeight="1">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row>
    <row r="643" ht="13.5" customHeight="1">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row>
    <row r="644" ht="13.5" customHeight="1">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row>
    <row r="645" ht="13.5" customHeight="1">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row>
    <row r="646" ht="13.5" customHeight="1">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row>
    <row r="647" ht="13.5" customHeight="1">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row>
    <row r="648" ht="13.5" customHeight="1">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row>
    <row r="649" ht="13.5" customHeight="1">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row>
    <row r="650" ht="13.5" customHeight="1">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row>
    <row r="651" ht="13.5" customHeight="1">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row>
    <row r="652" ht="13.5" customHeight="1">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row>
    <row r="653" ht="13.5" customHeight="1">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row>
    <row r="654" ht="13.5" customHeight="1">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row>
    <row r="655" ht="13.5" customHeight="1">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row>
    <row r="656" ht="13.5" customHeight="1">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row>
    <row r="657" ht="13.5" customHeight="1">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row>
    <row r="658" ht="13.5" customHeight="1">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row>
    <row r="659" ht="13.5" customHeight="1">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row>
    <row r="660" ht="13.5" customHeight="1">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row>
    <row r="661" ht="13.5" customHeight="1">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row>
    <row r="662" ht="13.5" customHeight="1">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row>
    <row r="663" ht="13.5" customHeight="1">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row>
    <row r="664" ht="13.5" customHeight="1">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row>
    <row r="665" ht="13.5" customHeight="1">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row>
    <row r="666" ht="13.5" customHeight="1">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row>
    <row r="667" ht="13.5" customHeight="1">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row>
    <row r="668" ht="13.5" customHeight="1">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row>
    <row r="669" ht="13.5" customHeight="1">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row>
    <row r="670" ht="13.5" customHeight="1">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row>
    <row r="671" ht="13.5" customHeight="1">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row>
    <row r="672" ht="13.5" customHeight="1">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row>
    <row r="673" ht="13.5" customHeight="1">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row>
    <row r="674" ht="13.5" customHeight="1">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row>
    <row r="675" ht="13.5" customHeight="1">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row>
    <row r="676" ht="13.5" customHeight="1">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row>
    <row r="677" ht="13.5" customHeight="1">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row>
    <row r="678" ht="13.5" customHeight="1">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row>
    <row r="679" ht="13.5" customHeight="1">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row>
    <row r="680" ht="13.5" customHeight="1">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row>
    <row r="681" ht="13.5" customHeight="1">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row>
    <row r="682" ht="13.5" customHeight="1">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row>
    <row r="683" ht="13.5" customHeight="1">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row>
    <row r="684" ht="13.5" customHeight="1">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row>
    <row r="685" ht="13.5" customHeight="1">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row>
    <row r="686" ht="13.5" customHeight="1">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row>
    <row r="687" ht="13.5" customHeight="1">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row>
    <row r="688" ht="13.5" customHeight="1">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row>
    <row r="689" ht="13.5" customHeight="1">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row>
    <row r="690" ht="13.5" customHeight="1">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row>
    <row r="691" ht="13.5" customHeight="1">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row>
    <row r="692" ht="13.5" customHeight="1">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row>
    <row r="693" ht="13.5" customHeight="1">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row>
    <row r="694" ht="13.5" customHeight="1">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row>
    <row r="695" ht="13.5" customHeight="1">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row>
    <row r="696" ht="13.5" customHeight="1">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row>
    <row r="697" ht="13.5" customHeight="1">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row>
    <row r="698" ht="13.5" customHeight="1">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row>
    <row r="699" ht="13.5" customHeight="1">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row>
    <row r="700" ht="13.5" customHeight="1">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row>
    <row r="701" ht="13.5" customHeight="1">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row>
    <row r="702" ht="13.5" customHeight="1">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row>
    <row r="703" ht="13.5" customHeight="1">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row>
    <row r="704" ht="13.5" customHeight="1">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row>
    <row r="705" ht="13.5" customHeight="1">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row>
    <row r="706" ht="13.5" customHeight="1">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row>
    <row r="707" ht="13.5" customHeight="1">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row>
    <row r="708" ht="13.5" customHeight="1">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row>
    <row r="709" ht="13.5" customHeight="1">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row>
    <row r="710" ht="13.5" customHeight="1">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row>
    <row r="711" ht="13.5" customHeight="1">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row>
    <row r="712" ht="13.5" customHeight="1">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row>
    <row r="713" ht="13.5" customHeight="1">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row>
    <row r="714" ht="13.5" customHeight="1">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row>
    <row r="715" ht="13.5" customHeight="1">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row>
    <row r="716" ht="13.5" customHeight="1">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row>
    <row r="717" ht="13.5" customHeight="1">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row>
    <row r="718" ht="13.5" customHeight="1">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row>
    <row r="719" ht="13.5" customHeight="1">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row>
    <row r="720" ht="13.5" customHeight="1">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row>
    <row r="721" ht="13.5" customHeight="1">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row>
    <row r="722" ht="13.5" customHeight="1">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row>
    <row r="723" ht="13.5" customHeight="1">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row>
    <row r="724" ht="13.5" customHeight="1">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row>
    <row r="725" ht="13.5" customHeight="1">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row>
    <row r="726" ht="13.5" customHeight="1">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row>
    <row r="727" ht="13.5" customHeight="1">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row>
    <row r="728" ht="13.5" customHeight="1">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row>
    <row r="729" ht="13.5" customHeight="1">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row>
    <row r="730" ht="13.5" customHeight="1">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row>
    <row r="731" ht="13.5" customHeight="1">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row>
    <row r="732" ht="13.5" customHeight="1">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row>
    <row r="733" ht="13.5" customHeight="1">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row>
    <row r="734" ht="13.5" customHeight="1">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row>
    <row r="735" ht="13.5" customHeight="1">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row>
    <row r="736" ht="13.5" customHeight="1">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row>
    <row r="737" ht="13.5" customHeight="1">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row>
    <row r="738" ht="13.5" customHeight="1">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row>
    <row r="739" ht="13.5" customHeight="1">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row>
    <row r="740" ht="13.5" customHeight="1">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row>
    <row r="741" ht="13.5" customHeight="1">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row>
    <row r="742" ht="13.5" customHeight="1">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row>
    <row r="743" ht="13.5" customHeight="1">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row>
    <row r="744" ht="13.5" customHeight="1">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row>
    <row r="745" ht="13.5" customHeight="1">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row>
    <row r="746" ht="13.5" customHeight="1">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row>
    <row r="747" ht="13.5" customHeight="1">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row>
    <row r="748" ht="13.5" customHeight="1">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row>
    <row r="749" ht="13.5" customHeight="1">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row>
    <row r="750" ht="13.5" customHeight="1">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row>
    <row r="751" ht="13.5" customHeight="1">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row>
    <row r="752" ht="13.5" customHeight="1">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row>
    <row r="753" ht="13.5" customHeight="1">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row>
    <row r="754" ht="13.5" customHeight="1">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row>
    <row r="755" ht="13.5" customHeight="1">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row>
    <row r="756" ht="13.5" customHeight="1">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row>
    <row r="757" ht="13.5" customHeight="1">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row>
    <row r="758" ht="13.5" customHeight="1">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row>
    <row r="759" ht="13.5" customHeight="1">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row>
    <row r="760" ht="13.5" customHeight="1">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row>
    <row r="761" ht="13.5" customHeight="1">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row>
    <row r="762" ht="13.5" customHeight="1">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row>
    <row r="763" ht="13.5" customHeight="1">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row>
    <row r="764" ht="13.5" customHeight="1">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row>
    <row r="765" ht="13.5" customHeight="1">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row>
    <row r="766" ht="13.5" customHeight="1">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row>
    <row r="767" ht="13.5" customHeight="1">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row>
    <row r="768" ht="13.5" customHeight="1">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row>
    <row r="769" ht="13.5" customHeight="1">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row>
    <row r="770" ht="13.5" customHeight="1">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row>
    <row r="771" ht="13.5" customHeight="1">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row>
    <row r="772" ht="13.5" customHeight="1">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row>
    <row r="773" ht="13.5" customHeight="1">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row>
    <row r="774" ht="13.5" customHeight="1">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row>
    <row r="775" ht="13.5" customHeight="1">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row>
    <row r="776" ht="13.5" customHeight="1">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row>
    <row r="777" ht="13.5" customHeight="1">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row>
    <row r="778" ht="13.5" customHeight="1">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row>
    <row r="779" ht="13.5" customHeight="1">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row>
    <row r="780" ht="13.5" customHeight="1">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row>
    <row r="781" ht="13.5" customHeight="1">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row>
    <row r="782" ht="13.5" customHeight="1">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row>
    <row r="783" ht="13.5" customHeight="1">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row>
    <row r="784" ht="13.5" customHeight="1">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row>
    <row r="785" ht="13.5" customHeight="1">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row>
    <row r="786" ht="13.5" customHeight="1">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row>
    <row r="787" ht="13.5" customHeight="1">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row>
    <row r="788" ht="13.5" customHeight="1">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row>
    <row r="789" ht="13.5" customHeight="1">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row>
    <row r="790" ht="13.5" customHeight="1">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row>
    <row r="791" ht="13.5" customHeight="1">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row>
    <row r="792" ht="13.5" customHeight="1">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row>
    <row r="793" ht="13.5" customHeight="1">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row>
    <row r="794" ht="13.5" customHeight="1">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row>
    <row r="795" ht="13.5" customHeight="1">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row>
    <row r="796" ht="13.5" customHeight="1">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row>
    <row r="797" ht="13.5" customHeight="1">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row>
    <row r="798" ht="13.5" customHeight="1">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row>
    <row r="799" ht="13.5" customHeight="1">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row>
    <row r="800" ht="13.5" customHeight="1">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row>
    <row r="801" ht="13.5" customHeight="1">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row>
    <row r="802" ht="13.5" customHeight="1">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row>
    <row r="803" ht="13.5" customHeight="1">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row>
    <row r="804" ht="13.5" customHeight="1">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row>
    <row r="805" ht="13.5" customHeight="1">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row>
    <row r="806" ht="13.5" customHeight="1">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row>
    <row r="807" ht="13.5" customHeight="1">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row>
    <row r="808" ht="13.5" customHeight="1">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row>
    <row r="809" ht="13.5" customHeight="1">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row>
    <row r="810" ht="13.5" customHeight="1">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row>
    <row r="811" ht="13.5" customHeight="1">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row>
    <row r="812" ht="13.5" customHeight="1">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row>
    <row r="813" ht="13.5" customHeight="1">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row>
    <row r="814" ht="13.5" customHeight="1">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row>
    <row r="815" ht="13.5" customHeight="1">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row>
    <row r="816" ht="13.5" customHeight="1">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row>
    <row r="817" ht="13.5" customHeight="1">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row>
    <row r="818" ht="13.5" customHeight="1">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row>
    <row r="819" ht="13.5" customHeight="1">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row>
    <row r="820" ht="13.5" customHeight="1">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row>
    <row r="821" ht="13.5" customHeight="1">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row>
    <row r="822" ht="13.5" customHeight="1">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row>
    <row r="823" ht="13.5" customHeight="1">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row>
    <row r="824" ht="13.5" customHeight="1">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row>
    <row r="825" ht="13.5" customHeight="1">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row>
    <row r="826" ht="13.5" customHeight="1">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row>
    <row r="827" ht="13.5" customHeight="1">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row>
    <row r="828" ht="13.5" customHeight="1">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row>
    <row r="829" ht="13.5" customHeight="1">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row>
    <row r="830" ht="13.5" customHeight="1">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row>
    <row r="831" ht="13.5" customHeight="1">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row>
    <row r="832" ht="13.5" customHeight="1">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row>
    <row r="833" ht="13.5" customHeight="1">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row>
    <row r="834" ht="13.5" customHeight="1">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row>
    <row r="835" ht="13.5" customHeight="1">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row>
    <row r="836" ht="13.5" customHeight="1">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row>
    <row r="837" ht="13.5" customHeight="1">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row>
    <row r="838" ht="13.5" customHeight="1">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row>
    <row r="839" ht="13.5" customHeight="1">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row>
    <row r="840" ht="13.5" customHeight="1">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row>
    <row r="841" ht="13.5" customHeight="1">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row>
    <row r="842" ht="13.5" customHeight="1">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row>
    <row r="843" ht="13.5" customHeight="1">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row>
    <row r="844" ht="13.5" customHeight="1">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row>
    <row r="845" ht="13.5" customHeight="1">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row>
    <row r="846" ht="13.5" customHeight="1">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row>
    <row r="847" ht="13.5" customHeight="1">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row>
    <row r="848" ht="13.5" customHeight="1">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row>
    <row r="849" ht="13.5" customHeight="1">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row>
    <row r="850" ht="13.5" customHeight="1">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row>
    <row r="851" ht="13.5" customHeight="1">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row>
    <row r="852" ht="13.5" customHeight="1">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row>
    <row r="853" ht="13.5" customHeight="1">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row>
    <row r="854" ht="13.5" customHeight="1">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row>
    <row r="855" ht="13.5" customHeight="1">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row>
    <row r="856" ht="13.5" customHeight="1">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row>
    <row r="857" ht="13.5" customHeight="1">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row>
    <row r="858" ht="13.5" customHeight="1">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row>
    <row r="859" ht="13.5" customHeight="1">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row>
    <row r="860" ht="13.5" customHeight="1">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row>
    <row r="861" ht="13.5" customHeight="1">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row>
    <row r="862" ht="13.5" customHeight="1">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row>
    <row r="863" ht="13.5" customHeight="1">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row>
    <row r="864" ht="13.5" customHeight="1">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row>
    <row r="865" ht="13.5" customHeight="1">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row>
    <row r="866" ht="13.5" customHeight="1">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row>
    <row r="867" ht="13.5" customHeight="1">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row>
    <row r="868" ht="13.5" customHeight="1">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row>
    <row r="869" ht="13.5" customHeight="1">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row>
    <row r="870" ht="13.5" customHeight="1">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row>
    <row r="871" ht="13.5" customHeight="1">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row>
    <row r="872" ht="13.5" customHeight="1">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row>
    <row r="873" ht="13.5" customHeight="1">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row>
    <row r="874" ht="13.5" customHeight="1">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row>
    <row r="875" ht="13.5" customHeight="1">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row>
    <row r="876" ht="13.5" customHeight="1">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row>
    <row r="877" ht="13.5" customHeight="1">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row>
    <row r="878" ht="13.5" customHeight="1">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row>
    <row r="879" ht="13.5" customHeight="1">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row>
    <row r="880" ht="13.5" customHeight="1">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row>
    <row r="881" ht="13.5" customHeight="1">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row>
    <row r="882" ht="13.5" customHeight="1">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row>
    <row r="883" ht="13.5" customHeight="1">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row>
    <row r="884" ht="13.5" customHeight="1">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row>
    <row r="885" ht="13.5" customHeight="1">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row>
    <row r="886" ht="13.5" customHeight="1">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row>
    <row r="887" ht="13.5" customHeight="1">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row>
    <row r="888" ht="13.5" customHeight="1">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row>
    <row r="889" ht="13.5" customHeight="1">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row>
    <row r="890" ht="13.5" customHeight="1">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row>
    <row r="891" ht="13.5" customHeight="1">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row>
    <row r="892" ht="13.5" customHeight="1">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row>
    <row r="893" ht="13.5" customHeight="1">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row>
    <row r="894" ht="13.5" customHeight="1">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row>
    <row r="895" ht="13.5" customHeight="1">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row>
    <row r="896" ht="13.5" customHeight="1">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row>
    <row r="897" ht="13.5" customHeight="1">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row>
    <row r="898" ht="13.5" customHeight="1">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row>
    <row r="899" ht="13.5" customHeight="1">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row>
    <row r="900" ht="13.5" customHeight="1">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row>
    <row r="901" ht="13.5" customHeight="1">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row>
    <row r="902" ht="13.5" customHeight="1">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row>
    <row r="903" ht="13.5" customHeight="1">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row>
    <row r="904" ht="13.5" customHeight="1">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row>
    <row r="905" ht="13.5" customHeight="1">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row>
    <row r="906" ht="13.5" customHeight="1">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row>
    <row r="907" ht="13.5" customHeight="1">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row>
    <row r="908" ht="13.5" customHeight="1">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row>
    <row r="909" ht="13.5" customHeight="1">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row>
    <row r="910" ht="13.5" customHeight="1">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row>
    <row r="911" ht="13.5" customHeight="1">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row>
    <row r="912" ht="13.5" customHeight="1">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row>
    <row r="913" ht="13.5" customHeight="1">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row>
    <row r="914" ht="13.5" customHeight="1">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row>
    <row r="915" ht="13.5" customHeight="1">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row>
    <row r="916" ht="13.5" customHeight="1">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row>
    <row r="917" ht="13.5" customHeight="1">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row>
    <row r="918" ht="13.5" customHeight="1">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row>
    <row r="919" ht="13.5" customHeight="1">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row>
    <row r="920" ht="13.5" customHeight="1">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row>
    <row r="921" ht="13.5" customHeight="1">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row>
    <row r="922" ht="13.5" customHeight="1">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row>
    <row r="923" ht="13.5" customHeight="1">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row>
    <row r="924" ht="13.5" customHeight="1">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row>
    <row r="925" ht="13.5" customHeight="1">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row>
    <row r="926" ht="13.5" customHeight="1">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row>
    <row r="927" ht="13.5" customHeight="1">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row>
    <row r="928" ht="13.5" customHeight="1">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row>
    <row r="929" ht="13.5" customHeight="1">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row>
    <row r="930" ht="13.5" customHeight="1">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row>
    <row r="931" ht="13.5" customHeight="1">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row>
    <row r="932" ht="13.5" customHeight="1">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row>
    <row r="933" ht="13.5" customHeight="1">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row>
    <row r="934" ht="13.5" customHeight="1">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row>
    <row r="935" ht="13.5" customHeight="1">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row>
    <row r="936" ht="13.5" customHeight="1">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row>
    <row r="937" ht="13.5" customHeight="1">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row>
    <row r="938" ht="13.5" customHeight="1">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row>
    <row r="939" ht="13.5" customHeight="1">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row>
    <row r="940" ht="13.5" customHeight="1">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row>
    <row r="941" ht="13.5" customHeight="1">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row>
    <row r="942" ht="13.5" customHeight="1">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row>
    <row r="943" ht="13.5" customHeight="1">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row>
    <row r="944" ht="13.5" customHeight="1">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row>
    <row r="945" ht="13.5" customHeight="1">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row>
    <row r="946" ht="13.5" customHeight="1">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row>
    <row r="947" ht="13.5" customHeight="1">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row>
    <row r="948" ht="13.5" customHeight="1">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row>
    <row r="949" ht="13.5" customHeight="1">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row>
    <row r="950" ht="13.5" customHeight="1">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row>
    <row r="951" ht="13.5" customHeight="1">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row>
    <row r="952" ht="13.5" customHeight="1">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row>
    <row r="953" ht="13.5" customHeight="1">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row>
    <row r="954" ht="13.5" customHeight="1">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row>
    <row r="955" ht="13.5" customHeight="1">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row>
    <row r="956" ht="13.5" customHeight="1">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row>
    <row r="957" ht="13.5" customHeight="1">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row>
    <row r="958" ht="13.5" customHeight="1">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row>
    <row r="959" ht="13.5" customHeight="1">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row>
    <row r="960" ht="13.5" customHeight="1">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row>
    <row r="961" ht="13.5" customHeight="1">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row>
    <row r="962" ht="13.5" customHeight="1">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row>
    <row r="963" ht="13.5" customHeight="1">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row>
    <row r="964" ht="13.5" customHeight="1">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row>
    <row r="965" ht="13.5" customHeight="1">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row>
    <row r="966" ht="13.5" customHeight="1">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row>
    <row r="967" ht="13.5" customHeight="1">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row>
    <row r="968" ht="13.5" customHeight="1">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row>
    <row r="969" ht="13.5" customHeight="1">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row>
    <row r="970" ht="13.5" customHeight="1">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row>
    <row r="971" ht="13.5" customHeight="1">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row>
    <row r="972" ht="13.5" customHeight="1">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row>
    <row r="973" ht="13.5" customHeight="1">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row>
    <row r="974" ht="13.5" customHeight="1">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row>
    <row r="975" ht="13.5" customHeight="1">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row>
    <row r="976" ht="13.5" customHeight="1">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row>
    <row r="977" ht="13.5" customHeight="1">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row>
    <row r="978" ht="13.5" customHeight="1">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row>
    <row r="979" ht="13.5" customHeight="1">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row>
    <row r="980" ht="13.5" customHeight="1">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row>
    <row r="981" ht="13.5" customHeight="1">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row>
    <row r="982" ht="13.5" customHeight="1">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row>
    <row r="983" ht="13.5" customHeight="1">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row>
    <row r="984" ht="13.5" customHeight="1">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row>
    <row r="985" ht="13.5" customHeight="1">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row>
    <row r="986" ht="13.5" customHeight="1">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row>
    <row r="987" ht="13.5" customHeight="1">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row>
    <row r="988" ht="13.5" customHeight="1">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row>
    <row r="989" ht="13.5" customHeight="1">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row>
    <row r="990" ht="13.5" customHeight="1">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row>
    <row r="991" ht="13.5" customHeight="1">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row>
    <row r="992" ht="13.5" customHeight="1">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row>
    <row r="993" ht="13.5" customHeight="1">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row>
    <row r="994" ht="13.5" customHeight="1">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row>
    <row r="995" ht="13.5" customHeight="1">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row>
    <row r="996" ht="13.5" customHeight="1">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row>
    <row r="997" ht="13.5" customHeight="1">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row>
    <row r="998" ht="13.5" customHeight="1">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row>
    <row r="999" ht="13.5" customHeight="1">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row>
    <row r="1000" ht="13.5" customHeight="1">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row>
  </sheetData>
  <mergeCells count="26">
    <mergeCell ref="D2:H2"/>
    <mergeCell ref="J2:L2"/>
    <mergeCell ref="D3:H3"/>
    <mergeCell ref="J3:L3"/>
    <mergeCell ref="D4:H4"/>
    <mergeCell ref="J4:L4"/>
    <mergeCell ref="J5:L5"/>
    <mergeCell ref="J9:L9"/>
    <mergeCell ref="J10:L10"/>
    <mergeCell ref="D5:H5"/>
    <mergeCell ref="D6:H6"/>
    <mergeCell ref="D7:H7"/>
    <mergeCell ref="J7:L7"/>
    <mergeCell ref="J8:L8"/>
    <mergeCell ref="D9:H9"/>
    <mergeCell ref="D10:H10"/>
    <mergeCell ref="D16:H16"/>
    <mergeCell ref="D17:H17"/>
    <mergeCell ref="D18:H18"/>
    <mergeCell ref="D11:H11"/>
    <mergeCell ref="J11:L11"/>
    <mergeCell ref="D12:H12"/>
    <mergeCell ref="J12:L12"/>
    <mergeCell ref="D13:H13"/>
    <mergeCell ref="D14:H14"/>
    <mergeCell ref="D15:H15"/>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tabColor rgb="FFFF0000"/>
    <pageSetUpPr/>
  </sheetPr>
  <sheetViews>
    <sheetView workbookViewId="0"/>
  </sheetViews>
  <sheetFormatPr customHeight="1" defaultColWidth="14.43" defaultRowHeight="15.0"/>
  <cols>
    <col customWidth="1" min="1" max="1" width="11.57"/>
    <col customWidth="1" min="2" max="2" width="16.71"/>
    <col customWidth="1" min="3" max="3" width="72.71"/>
    <col customWidth="1" min="4" max="4" width="14.0"/>
    <col customWidth="1" min="5" max="26" width="11.57"/>
  </cols>
  <sheetData>
    <row r="1" ht="13.5" customHeight="1">
      <c r="A1" s="3"/>
      <c r="B1" s="51" t="s">
        <v>82</v>
      </c>
      <c r="C1" s="52" t="s">
        <v>83</v>
      </c>
      <c r="D1" s="51" t="s">
        <v>84</v>
      </c>
      <c r="E1" s="3"/>
      <c r="F1" s="3"/>
      <c r="G1" s="3"/>
      <c r="H1" s="3"/>
      <c r="I1" s="3"/>
      <c r="J1" s="3"/>
      <c r="K1" s="3"/>
      <c r="L1" s="3"/>
      <c r="M1" s="3"/>
      <c r="N1" s="3"/>
      <c r="O1" s="3"/>
      <c r="P1" s="3"/>
      <c r="Q1" s="3"/>
      <c r="R1" s="3"/>
      <c r="S1" s="3"/>
      <c r="T1" s="3"/>
      <c r="U1" s="3"/>
      <c r="V1" s="3"/>
      <c r="W1" s="3"/>
      <c r="X1" s="3"/>
      <c r="Y1" s="3"/>
      <c r="Z1" s="3"/>
    </row>
    <row r="2" ht="13.5" customHeight="1">
      <c r="A2" s="3"/>
      <c r="B2" s="3"/>
      <c r="C2" s="53"/>
      <c r="D2" s="3"/>
      <c r="E2" s="3"/>
      <c r="F2" s="3"/>
      <c r="G2" s="3"/>
      <c r="H2" s="3"/>
      <c r="I2" s="3"/>
      <c r="J2" s="3"/>
      <c r="K2" s="3"/>
      <c r="L2" s="3"/>
      <c r="M2" s="3"/>
      <c r="N2" s="3"/>
      <c r="O2" s="3"/>
      <c r="P2" s="3"/>
      <c r="Q2" s="3"/>
      <c r="R2" s="3"/>
      <c r="S2" s="3"/>
      <c r="T2" s="3"/>
      <c r="U2" s="3"/>
      <c r="V2" s="3"/>
      <c r="W2" s="3"/>
      <c r="X2" s="3"/>
      <c r="Y2" s="3"/>
      <c r="Z2" s="3"/>
    </row>
    <row r="3" ht="13.5" customHeight="1">
      <c r="A3" s="54" t="s">
        <v>85</v>
      </c>
      <c r="B3" s="55" t="s">
        <v>86</v>
      </c>
      <c r="C3" s="56" t="s">
        <v>87</v>
      </c>
      <c r="D3" s="57" t="s">
        <v>55</v>
      </c>
      <c r="E3" s="3"/>
      <c r="F3" s="3"/>
      <c r="G3" s="3"/>
      <c r="H3" s="3"/>
      <c r="I3" s="3"/>
      <c r="J3" s="3"/>
      <c r="K3" s="3"/>
      <c r="L3" s="3"/>
      <c r="M3" s="3"/>
      <c r="N3" s="3"/>
      <c r="O3" s="3"/>
      <c r="P3" s="3"/>
      <c r="Q3" s="3"/>
      <c r="R3" s="3"/>
      <c r="S3" s="3"/>
      <c r="T3" s="3"/>
      <c r="U3" s="3"/>
      <c r="V3" s="3"/>
      <c r="W3" s="3"/>
      <c r="X3" s="3"/>
      <c r="Y3" s="3"/>
      <c r="Z3" s="3"/>
    </row>
    <row r="4" ht="13.5" customHeight="1">
      <c r="A4" s="58"/>
      <c r="B4" s="59" t="s">
        <v>88</v>
      </c>
      <c r="C4" s="60" t="s">
        <v>89</v>
      </c>
      <c r="D4" s="61" t="s">
        <v>54</v>
      </c>
      <c r="E4" s="3"/>
      <c r="F4" s="3"/>
      <c r="G4" s="3"/>
      <c r="H4" s="3"/>
      <c r="I4" s="3"/>
      <c r="J4" s="3"/>
      <c r="K4" s="3"/>
      <c r="L4" s="3"/>
      <c r="M4" s="3"/>
      <c r="N4" s="3"/>
      <c r="O4" s="3"/>
      <c r="P4" s="3"/>
      <c r="Q4" s="3"/>
      <c r="R4" s="3"/>
      <c r="S4" s="3"/>
      <c r="T4" s="3"/>
      <c r="U4" s="3"/>
      <c r="V4" s="3"/>
      <c r="W4" s="3"/>
      <c r="X4" s="3"/>
      <c r="Y4" s="3"/>
      <c r="Z4" s="3"/>
    </row>
    <row r="5" ht="13.5" customHeight="1">
      <c r="A5" s="62"/>
      <c r="B5" s="63" t="s">
        <v>90</v>
      </c>
      <c r="C5" s="64" t="s">
        <v>91</v>
      </c>
      <c r="D5" s="65" t="s">
        <v>54</v>
      </c>
      <c r="E5" s="3"/>
      <c r="F5" s="3"/>
      <c r="G5" s="3"/>
      <c r="H5" s="3"/>
      <c r="I5" s="3"/>
      <c r="J5" s="3"/>
      <c r="K5" s="3"/>
      <c r="L5" s="3"/>
      <c r="M5" s="3"/>
      <c r="N5" s="3"/>
      <c r="O5" s="3"/>
      <c r="P5" s="3"/>
      <c r="Q5" s="3"/>
      <c r="R5" s="3"/>
      <c r="S5" s="3"/>
      <c r="T5" s="3"/>
      <c r="U5" s="3"/>
      <c r="V5" s="3"/>
      <c r="W5" s="3"/>
      <c r="X5" s="3"/>
      <c r="Y5" s="3"/>
      <c r="Z5" s="3"/>
    </row>
    <row r="6" ht="13.5" customHeight="1">
      <c r="A6" s="66" t="s">
        <v>92</v>
      </c>
      <c r="B6" s="55" t="s">
        <v>93</v>
      </c>
      <c r="C6" s="56" t="s">
        <v>94</v>
      </c>
      <c r="D6" s="67" t="s">
        <v>55</v>
      </c>
      <c r="E6" s="3"/>
      <c r="F6" s="3"/>
      <c r="G6" s="3"/>
      <c r="H6" s="3"/>
      <c r="I6" s="3"/>
      <c r="J6" s="3"/>
      <c r="K6" s="3"/>
      <c r="L6" s="3"/>
      <c r="M6" s="3"/>
      <c r="N6" s="3"/>
      <c r="O6" s="3"/>
      <c r="P6" s="3"/>
      <c r="Q6" s="3"/>
      <c r="R6" s="3"/>
      <c r="S6" s="3"/>
      <c r="T6" s="3"/>
      <c r="U6" s="3"/>
      <c r="V6" s="3"/>
      <c r="W6" s="3"/>
      <c r="X6" s="3"/>
      <c r="Y6" s="3"/>
      <c r="Z6" s="3"/>
    </row>
    <row r="7" ht="13.5" customHeight="1">
      <c r="A7" s="58"/>
      <c r="B7" s="59" t="s">
        <v>95</v>
      </c>
      <c r="C7" s="68" t="s">
        <v>96</v>
      </c>
      <c r="D7" s="69" t="s">
        <v>55</v>
      </c>
      <c r="E7" s="3"/>
      <c r="F7" s="3"/>
      <c r="G7" s="3"/>
      <c r="H7" s="3"/>
      <c r="I7" s="3"/>
      <c r="J7" s="3"/>
      <c r="K7" s="3"/>
      <c r="L7" s="3"/>
      <c r="M7" s="3"/>
      <c r="N7" s="3"/>
      <c r="O7" s="3"/>
      <c r="P7" s="3"/>
      <c r="Q7" s="3"/>
      <c r="R7" s="3"/>
      <c r="S7" s="3"/>
      <c r="T7" s="3"/>
      <c r="U7" s="3"/>
      <c r="V7" s="3"/>
      <c r="W7" s="3"/>
      <c r="X7" s="3"/>
      <c r="Y7" s="3"/>
      <c r="Z7" s="3"/>
    </row>
    <row r="8" ht="13.5" customHeight="1">
      <c r="A8" s="58"/>
      <c r="B8" s="59" t="s">
        <v>97</v>
      </c>
      <c r="C8" s="68" t="s">
        <v>98</v>
      </c>
      <c r="D8" s="69" t="s">
        <v>55</v>
      </c>
      <c r="E8" s="3"/>
      <c r="F8" s="3"/>
      <c r="G8" s="3"/>
      <c r="H8" s="3"/>
      <c r="I8" s="3"/>
      <c r="J8" s="3"/>
      <c r="K8" s="3"/>
      <c r="L8" s="3"/>
      <c r="M8" s="3"/>
      <c r="N8" s="3"/>
      <c r="O8" s="3"/>
      <c r="P8" s="3"/>
      <c r="Q8" s="3"/>
      <c r="R8" s="3"/>
      <c r="S8" s="3"/>
      <c r="T8" s="3"/>
      <c r="U8" s="3"/>
      <c r="V8" s="3"/>
      <c r="W8" s="3"/>
      <c r="X8" s="3"/>
      <c r="Y8" s="3"/>
      <c r="Z8" s="3"/>
    </row>
    <row r="9" ht="13.5" customHeight="1">
      <c r="A9" s="62"/>
      <c r="B9" s="70" t="s">
        <v>99</v>
      </c>
      <c r="C9" s="71" t="s">
        <v>100</v>
      </c>
      <c r="D9" s="72" t="s">
        <v>55</v>
      </c>
      <c r="E9" s="3"/>
      <c r="F9" s="3"/>
      <c r="G9" s="3"/>
      <c r="H9" s="3"/>
      <c r="I9" s="3"/>
      <c r="J9" s="3"/>
      <c r="K9" s="3"/>
      <c r="L9" s="3"/>
      <c r="M9" s="3"/>
      <c r="N9" s="3"/>
      <c r="O9" s="3"/>
      <c r="P9" s="3"/>
      <c r="Q9" s="3"/>
      <c r="R9" s="3"/>
      <c r="S9" s="3"/>
      <c r="T9" s="3"/>
      <c r="U9" s="3"/>
      <c r="V9" s="3"/>
      <c r="W9" s="3"/>
      <c r="X9" s="3"/>
      <c r="Y9" s="3"/>
      <c r="Z9" s="3"/>
    </row>
    <row r="10" ht="13.5" customHeight="1">
      <c r="A10" s="73" t="s">
        <v>101</v>
      </c>
      <c r="B10" s="55" t="s">
        <v>102</v>
      </c>
      <c r="C10" s="56" t="s">
        <v>103</v>
      </c>
      <c r="D10" s="74" t="s">
        <v>54</v>
      </c>
      <c r="E10" s="3"/>
      <c r="F10" s="3"/>
      <c r="G10" s="3"/>
      <c r="H10" s="3"/>
      <c r="I10" s="3"/>
      <c r="J10" s="3"/>
      <c r="K10" s="3"/>
      <c r="L10" s="3"/>
      <c r="M10" s="3"/>
      <c r="N10" s="3"/>
      <c r="O10" s="3"/>
      <c r="P10" s="3"/>
      <c r="Q10" s="3"/>
      <c r="R10" s="3"/>
      <c r="S10" s="3"/>
      <c r="T10" s="3"/>
      <c r="U10" s="3"/>
      <c r="V10" s="3"/>
      <c r="W10" s="3"/>
      <c r="X10" s="3"/>
      <c r="Y10" s="3"/>
      <c r="Z10" s="3"/>
    </row>
    <row r="11" ht="13.5" customHeight="1">
      <c r="A11" s="58"/>
      <c r="B11" s="59" t="s">
        <v>104</v>
      </c>
      <c r="C11" s="60" t="s">
        <v>105</v>
      </c>
      <c r="D11" s="75" t="s">
        <v>55</v>
      </c>
      <c r="E11" s="3"/>
      <c r="F11" s="3"/>
      <c r="G11" s="3"/>
      <c r="H11" s="3"/>
      <c r="I11" s="3"/>
      <c r="J11" s="3"/>
      <c r="K11" s="3"/>
      <c r="L11" s="3"/>
      <c r="M11" s="3"/>
      <c r="N11" s="3"/>
      <c r="O11" s="3"/>
      <c r="P11" s="3"/>
      <c r="Q11" s="3"/>
      <c r="R11" s="3"/>
      <c r="S11" s="3"/>
      <c r="T11" s="3"/>
      <c r="U11" s="3"/>
      <c r="V11" s="3"/>
      <c r="W11" s="3"/>
      <c r="X11" s="3"/>
      <c r="Y11" s="3"/>
      <c r="Z11" s="3"/>
    </row>
    <row r="12" ht="13.5" customHeight="1">
      <c r="A12" s="58"/>
      <c r="B12" s="59" t="s">
        <v>106</v>
      </c>
      <c r="C12" s="60" t="s">
        <v>107</v>
      </c>
      <c r="D12" s="75" t="s">
        <v>55</v>
      </c>
      <c r="E12" s="3"/>
      <c r="F12" s="3"/>
      <c r="G12" s="3"/>
      <c r="H12" s="3"/>
      <c r="I12" s="3"/>
      <c r="J12" s="3"/>
      <c r="K12" s="3"/>
      <c r="L12" s="3"/>
      <c r="M12" s="3"/>
      <c r="N12" s="3"/>
      <c r="O12" s="3"/>
      <c r="P12" s="3"/>
      <c r="Q12" s="3"/>
      <c r="R12" s="3"/>
      <c r="S12" s="3"/>
      <c r="T12" s="3"/>
      <c r="U12" s="3"/>
      <c r="V12" s="3"/>
      <c r="W12" s="3"/>
      <c r="X12" s="3"/>
      <c r="Y12" s="3"/>
      <c r="Z12" s="3"/>
    </row>
    <row r="13" ht="13.5" customHeight="1">
      <c r="A13" s="58"/>
      <c r="B13" s="59" t="s">
        <v>108</v>
      </c>
      <c r="C13" s="60" t="s">
        <v>109</v>
      </c>
      <c r="D13" s="75" t="s">
        <v>55</v>
      </c>
      <c r="E13" s="3"/>
      <c r="F13" s="3"/>
      <c r="G13" s="3"/>
      <c r="H13" s="3"/>
      <c r="I13" s="3"/>
      <c r="J13" s="3"/>
      <c r="K13" s="3"/>
      <c r="L13" s="3"/>
      <c r="M13" s="3"/>
      <c r="N13" s="3"/>
      <c r="O13" s="3"/>
      <c r="P13" s="3"/>
      <c r="Q13" s="3"/>
      <c r="R13" s="3"/>
      <c r="S13" s="3"/>
      <c r="T13" s="3"/>
      <c r="U13" s="3"/>
      <c r="V13" s="3"/>
      <c r="W13" s="3"/>
      <c r="X13" s="3"/>
      <c r="Y13" s="3"/>
      <c r="Z13" s="3"/>
    </row>
    <row r="14" ht="13.5" customHeight="1">
      <c r="A14" s="58"/>
      <c r="B14" s="59" t="s">
        <v>110</v>
      </c>
      <c r="C14" s="60" t="s">
        <v>111</v>
      </c>
      <c r="D14" s="75" t="s">
        <v>54</v>
      </c>
      <c r="E14" s="3"/>
      <c r="F14" s="3"/>
      <c r="G14" s="3"/>
      <c r="H14" s="3"/>
      <c r="I14" s="3"/>
      <c r="J14" s="3"/>
      <c r="K14" s="3"/>
      <c r="L14" s="3"/>
      <c r="M14" s="3"/>
      <c r="N14" s="3"/>
      <c r="O14" s="3"/>
      <c r="P14" s="3"/>
      <c r="Q14" s="3"/>
      <c r="R14" s="3"/>
      <c r="S14" s="3"/>
      <c r="T14" s="3"/>
      <c r="U14" s="3"/>
      <c r="V14" s="3"/>
      <c r="W14" s="3"/>
      <c r="X14" s="3"/>
      <c r="Y14" s="3"/>
      <c r="Z14" s="3"/>
    </row>
    <row r="15" ht="13.5" customHeight="1">
      <c r="A15" s="58"/>
      <c r="B15" s="59" t="s">
        <v>112</v>
      </c>
      <c r="C15" s="60" t="s">
        <v>113</v>
      </c>
      <c r="D15" s="75" t="s">
        <v>54</v>
      </c>
      <c r="E15" s="3"/>
      <c r="F15" s="3"/>
      <c r="G15" s="3"/>
      <c r="H15" s="3"/>
      <c r="I15" s="3"/>
      <c r="J15" s="3"/>
      <c r="K15" s="3"/>
      <c r="L15" s="3"/>
      <c r="M15" s="3"/>
      <c r="N15" s="3"/>
      <c r="O15" s="3"/>
      <c r="P15" s="3"/>
      <c r="Q15" s="3"/>
      <c r="R15" s="3"/>
      <c r="S15" s="3"/>
      <c r="T15" s="3"/>
      <c r="U15" s="3"/>
      <c r="V15" s="3"/>
      <c r="W15" s="3"/>
      <c r="X15" s="3"/>
      <c r="Y15" s="3"/>
      <c r="Z15" s="3"/>
    </row>
    <row r="16" ht="13.5" customHeight="1">
      <c r="A16" s="58"/>
      <c r="B16" s="59" t="s">
        <v>114</v>
      </c>
      <c r="C16" s="76" t="s">
        <v>115</v>
      </c>
      <c r="D16" s="75" t="s">
        <v>55</v>
      </c>
      <c r="E16" s="3"/>
      <c r="F16" s="3"/>
      <c r="G16" s="3"/>
      <c r="H16" s="3"/>
      <c r="I16" s="3"/>
      <c r="J16" s="3"/>
      <c r="K16" s="3"/>
      <c r="L16" s="3"/>
      <c r="M16" s="3"/>
      <c r="N16" s="3"/>
      <c r="O16" s="3"/>
      <c r="P16" s="3"/>
      <c r="Q16" s="3"/>
      <c r="R16" s="3"/>
      <c r="S16" s="3"/>
      <c r="T16" s="3"/>
      <c r="U16" s="3"/>
      <c r="V16" s="3"/>
      <c r="W16" s="3"/>
      <c r="X16" s="3"/>
      <c r="Y16" s="3"/>
      <c r="Z16" s="3"/>
    </row>
    <row r="17" ht="13.5" customHeight="1">
      <c r="A17" s="58"/>
      <c r="B17" s="59" t="s">
        <v>116</v>
      </c>
      <c r="C17" s="77" t="s">
        <v>117</v>
      </c>
      <c r="D17" s="75" t="s">
        <v>54</v>
      </c>
      <c r="E17" s="3"/>
      <c r="F17" s="3"/>
      <c r="G17" s="3"/>
      <c r="H17" s="3"/>
      <c r="I17" s="3"/>
      <c r="J17" s="3"/>
      <c r="K17" s="3"/>
      <c r="L17" s="3"/>
      <c r="M17" s="3"/>
      <c r="N17" s="3"/>
      <c r="O17" s="3"/>
      <c r="P17" s="3"/>
      <c r="Q17" s="3"/>
      <c r="R17" s="3"/>
      <c r="S17" s="3"/>
      <c r="T17" s="3"/>
      <c r="U17" s="3"/>
      <c r="V17" s="3"/>
      <c r="W17" s="3"/>
      <c r="X17" s="3"/>
      <c r="Y17" s="3"/>
      <c r="Z17" s="3"/>
    </row>
    <row r="18" ht="13.5" customHeight="1">
      <c r="A18" s="58"/>
      <c r="B18" s="59" t="s">
        <v>118</v>
      </c>
      <c r="C18" s="77" t="s">
        <v>119</v>
      </c>
      <c r="D18" s="75" t="s">
        <v>54</v>
      </c>
      <c r="E18" s="3"/>
      <c r="F18" s="3"/>
      <c r="G18" s="3"/>
      <c r="H18" s="3"/>
      <c r="I18" s="3"/>
      <c r="J18" s="3"/>
      <c r="K18" s="3"/>
      <c r="L18" s="3"/>
      <c r="M18" s="3"/>
      <c r="N18" s="3"/>
      <c r="O18" s="3"/>
      <c r="P18" s="3"/>
      <c r="Q18" s="3"/>
      <c r="R18" s="3"/>
      <c r="S18" s="3"/>
      <c r="T18" s="3"/>
      <c r="U18" s="3"/>
      <c r="V18" s="3"/>
      <c r="W18" s="3"/>
      <c r="X18" s="3"/>
      <c r="Y18" s="3"/>
      <c r="Z18" s="3"/>
    </row>
    <row r="19" ht="13.5" customHeight="1">
      <c r="A19" s="58"/>
      <c r="B19" s="59" t="s">
        <v>120</v>
      </c>
      <c r="C19" s="77" t="s">
        <v>121</v>
      </c>
      <c r="D19" s="75" t="s">
        <v>54</v>
      </c>
      <c r="E19" s="3"/>
      <c r="F19" s="3"/>
      <c r="G19" s="3"/>
      <c r="H19" s="3"/>
      <c r="I19" s="3"/>
      <c r="J19" s="3"/>
      <c r="K19" s="3"/>
      <c r="L19" s="3"/>
      <c r="M19" s="3"/>
      <c r="N19" s="3"/>
      <c r="O19" s="3"/>
      <c r="P19" s="3"/>
      <c r="Q19" s="3"/>
      <c r="R19" s="3"/>
      <c r="S19" s="3"/>
      <c r="T19" s="3"/>
      <c r="U19" s="3"/>
      <c r="V19" s="3"/>
      <c r="W19" s="3"/>
      <c r="X19" s="3"/>
      <c r="Y19" s="3"/>
      <c r="Z19" s="3"/>
    </row>
    <row r="20" ht="13.5" customHeight="1">
      <c r="A20" s="62"/>
      <c r="B20" s="63" t="s">
        <v>122</v>
      </c>
      <c r="C20" s="78" t="s">
        <v>123</v>
      </c>
      <c r="D20" s="79" t="s">
        <v>54</v>
      </c>
      <c r="E20" s="3"/>
      <c r="F20" s="3"/>
      <c r="G20" s="3"/>
      <c r="H20" s="3"/>
      <c r="I20" s="3"/>
      <c r="J20" s="3"/>
      <c r="K20" s="3"/>
      <c r="L20" s="3"/>
      <c r="M20" s="3"/>
      <c r="N20" s="3"/>
      <c r="O20" s="3"/>
      <c r="P20" s="3"/>
      <c r="Q20" s="3"/>
      <c r="R20" s="3"/>
      <c r="S20" s="3"/>
      <c r="T20" s="3"/>
      <c r="U20" s="3"/>
      <c r="V20" s="3"/>
      <c r="W20" s="3"/>
      <c r="X20" s="3"/>
      <c r="Y20" s="3"/>
      <c r="Z20" s="3"/>
    </row>
    <row r="21" ht="13.5" customHeight="1">
      <c r="A21" s="3"/>
      <c r="B21" s="3"/>
      <c r="C21" s="53"/>
      <c r="D21" s="3"/>
      <c r="E21" s="3"/>
      <c r="F21" s="3"/>
      <c r="G21" s="3"/>
      <c r="H21" s="3"/>
      <c r="I21" s="3"/>
      <c r="J21" s="3"/>
      <c r="K21" s="3"/>
      <c r="L21" s="3"/>
      <c r="M21" s="3"/>
      <c r="N21" s="3"/>
      <c r="O21" s="3"/>
      <c r="P21" s="3"/>
      <c r="Q21" s="3"/>
      <c r="R21" s="3"/>
      <c r="S21" s="3"/>
      <c r="T21" s="3"/>
      <c r="U21" s="3"/>
      <c r="V21" s="3"/>
      <c r="W21" s="3"/>
      <c r="X21" s="3"/>
      <c r="Y21" s="3"/>
      <c r="Z21" s="3"/>
    </row>
    <row r="22" ht="13.5" customHeight="1">
      <c r="A22" s="3"/>
      <c r="B22" s="3"/>
      <c r="C22" s="53"/>
      <c r="D22" s="3"/>
      <c r="E22" s="3"/>
      <c r="F22" s="3"/>
      <c r="G22" s="3"/>
      <c r="H22" s="3"/>
      <c r="I22" s="3"/>
      <c r="J22" s="3"/>
      <c r="K22" s="3"/>
      <c r="L22" s="3"/>
      <c r="M22" s="3"/>
      <c r="N22" s="3"/>
      <c r="O22" s="3"/>
      <c r="P22" s="3"/>
      <c r="Q22" s="3"/>
      <c r="R22" s="3"/>
      <c r="S22" s="3"/>
      <c r="T22" s="3"/>
      <c r="U22" s="3"/>
      <c r="V22" s="3"/>
      <c r="W22" s="3"/>
      <c r="X22" s="3"/>
      <c r="Y22" s="3"/>
      <c r="Z22" s="3"/>
    </row>
    <row r="23" ht="13.5" customHeight="1">
      <c r="A23" s="3"/>
      <c r="B23" s="3"/>
      <c r="C23" s="5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5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5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5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5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5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5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5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5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5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5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5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5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5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5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5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5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5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5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5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5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5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5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5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5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5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5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5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5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5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5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5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5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5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5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5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5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5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5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5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5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5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5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5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5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5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5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5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5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5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5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5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5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5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5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5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5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5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5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5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5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5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5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5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5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5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5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5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5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5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5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5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5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5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5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5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5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5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5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5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5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5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5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5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5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5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5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5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5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5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5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5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5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5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5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5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5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5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5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5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5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5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5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5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5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5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5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5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5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5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5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5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5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5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5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5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5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5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5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5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5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5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5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5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5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5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5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5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5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5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5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5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5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5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5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5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5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5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5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5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5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5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5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5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5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5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5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5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5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5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5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5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5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5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5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5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5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5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5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5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5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5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5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5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5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5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5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5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5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5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5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5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5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5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5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5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5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5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5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5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5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5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5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5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5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5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5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5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5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5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5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5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5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5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5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5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5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5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5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5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5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5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5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5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5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5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5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5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5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5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5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5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5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5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5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5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5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5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5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5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5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5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5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5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5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5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5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5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5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5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5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5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5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5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5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5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5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5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5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5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5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5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5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5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5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5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5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5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5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5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5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5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5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5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5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5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5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5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5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5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5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5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5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5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5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5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5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5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5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5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5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5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5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5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5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5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5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5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5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5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5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5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5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5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5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5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5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5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5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5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5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5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5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5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5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5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5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5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5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5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5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5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5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5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5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5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5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5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5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5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5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5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5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5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5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5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5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5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5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5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5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5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5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5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5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5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5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5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5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5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5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5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5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5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5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5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5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5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5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5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5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5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5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5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5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5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5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5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5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5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5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5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5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5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5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5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5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5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5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5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5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5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5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5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5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5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5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5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5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5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5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5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5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5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5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5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5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5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5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5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5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5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5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5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5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5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5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5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5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5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5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5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5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5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5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5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5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5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5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5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5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5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5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5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5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5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5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5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5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5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5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5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5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5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5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5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5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5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5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5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5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5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5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5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5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5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5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5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5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5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5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5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5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5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5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5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5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5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5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5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5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5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5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5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5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5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5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5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5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5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5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5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5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5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5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5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5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5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5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5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5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5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5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5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5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5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5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5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5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5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5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5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5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5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5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5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5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5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5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5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5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5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5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5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5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5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5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5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5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5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5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5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5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5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5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5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5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5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5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5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5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5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5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5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5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5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5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5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5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5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5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5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5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5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5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5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5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5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5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5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5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5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5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5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5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5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5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5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5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5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5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5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5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5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5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5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5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5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5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5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5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5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5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5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5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5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5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5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5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5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5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5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5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5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5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5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5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5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5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5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5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5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5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5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5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5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5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5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5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5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5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5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5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5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5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5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5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5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5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5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5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5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5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5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5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5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5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5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5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5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5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5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5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5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5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5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5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5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5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5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5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5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5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5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5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5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5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5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5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5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5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5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5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5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5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5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5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5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5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5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5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5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5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5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5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5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5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5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5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5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5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5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5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5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5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5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5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5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5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5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5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5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5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5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5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5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5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5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5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5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5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5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5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5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5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5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5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5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5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5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5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5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5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5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5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5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5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5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5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5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5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5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5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5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5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5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5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5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5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5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5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5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5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5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5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5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5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5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5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5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5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5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5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5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5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5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5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5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5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5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5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5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5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5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5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5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5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5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5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5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5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5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5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5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5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5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5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5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5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5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5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5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5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5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5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5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5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5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5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5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5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5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5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5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5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5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5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5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5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5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5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5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5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5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5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5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5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5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5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5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5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5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5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5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5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5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5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5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5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5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5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5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5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5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5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5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5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5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5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5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5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5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5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5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5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5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5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5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5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5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5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5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5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5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5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5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5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5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5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5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5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5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5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5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5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5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5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5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5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5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5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5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5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5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5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5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5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5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5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5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5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5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5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5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5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5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5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5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5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5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5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5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5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5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5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5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5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5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5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5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5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5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5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5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5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5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5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5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5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5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5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5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5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5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5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5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5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5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5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5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5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5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5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5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5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5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5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5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5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5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5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5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5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5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5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5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5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5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5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5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5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5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5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5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5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5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5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5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5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5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5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5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5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5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5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5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5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5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5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5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5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5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5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5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5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5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5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5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5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5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5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5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5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5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5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5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5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5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5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5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5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5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5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5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5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5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5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5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5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5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5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5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5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5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5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5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5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5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5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5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5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5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5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5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5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5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5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5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5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5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5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5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5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5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5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5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5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5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5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5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5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5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5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5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5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5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5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5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5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5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5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5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5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5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5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5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5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5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5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5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5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5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5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5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5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5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5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5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3">
    <mergeCell ref="A3:A5"/>
    <mergeCell ref="A6:A9"/>
    <mergeCell ref="A10:A20"/>
  </mergeCells>
  <dataValidations>
    <dataValidation type="list" allowBlank="1" showErrorMessage="1" sqref="D2:D20">
      <formula1>'Tablas AR'!$A$18:$A$19</formula1>
    </dataValidation>
  </dataValidation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6">
    <tabColor rgb="FF1F497D"/>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64.86"/>
    <col customWidth="1" min="2" max="26" width="10.71"/>
  </cols>
  <sheetData>
    <row r="1" ht="14.25" customHeight="1">
      <c r="A1" s="80" t="s">
        <v>124</v>
      </c>
      <c r="B1" s="80" t="s">
        <v>86</v>
      </c>
      <c r="C1" s="80" t="s">
        <v>88</v>
      </c>
      <c r="D1" s="80" t="s">
        <v>90</v>
      </c>
      <c r="E1" s="80" t="s">
        <v>93</v>
      </c>
      <c r="F1" s="80" t="s">
        <v>95</v>
      </c>
      <c r="G1" s="80" t="s">
        <v>97</v>
      </c>
      <c r="H1" s="80" t="s">
        <v>99</v>
      </c>
      <c r="I1" s="80" t="s">
        <v>102</v>
      </c>
      <c r="J1" s="80" t="s">
        <v>104</v>
      </c>
      <c r="K1" s="80" t="s">
        <v>106</v>
      </c>
      <c r="L1" s="80" t="s">
        <v>108</v>
      </c>
      <c r="M1" s="80" t="s">
        <v>110</v>
      </c>
      <c r="N1" s="80" t="s">
        <v>112</v>
      </c>
      <c r="O1" s="80" t="s">
        <v>114</v>
      </c>
      <c r="P1" s="80" t="s">
        <v>116</v>
      </c>
      <c r="Q1" s="80" t="s">
        <v>118</v>
      </c>
      <c r="R1" s="80" t="s">
        <v>120</v>
      </c>
      <c r="S1" s="80" t="s">
        <v>122</v>
      </c>
    </row>
    <row r="2" ht="14.25" customHeight="1">
      <c r="A2" s="45" t="s">
        <v>57</v>
      </c>
      <c r="B2" s="81" t="s">
        <v>55</v>
      </c>
      <c r="C2" s="81" t="s">
        <v>54</v>
      </c>
      <c r="D2" s="81" t="s">
        <v>54</v>
      </c>
      <c r="E2" s="81" t="s">
        <v>55</v>
      </c>
      <c r="F2" s="81" t="s">
        <v>55</v>
      </c>
      <c r="G2" s="81" t="s">
        <v>55</v>
      </c>
      <c r="H2" s="81" t="s">
        <v>55</v>
      </c>
      <c r="I2" s="81" t="s">
        <v>54</v>
      </c>
      <c r="J2" s="81" t="s">
        <v>55</v>
      </c>
      <c r="K2" s="81" t="s">
        <v>55</v>
      </c>
      <c r="L2" s="81" t="s">
        <v>55</v>
      </c>
      <c r="M2" s="81" t="s">
        <v>55</v>
      </c>
      <c r="N2" s="81" t="s">
        <v>55</v>
      </c>
      <c r="O2" s="81" t="s">
        <v>55</v>
      </c>
      <c r="P2" s="82" t="s">
        <v>54</v>
      </c>
      <c r="Q2" s="82" t="s">
        <v>54</v>
      </c>
      <c r="R2" s="82" t="s">
        <v>54</v>
      </c>
      <c r="S2" s="82" t="s">
        <v>54</v>
      </c>
      <c r="T2" s="80"/>
      <c r="U2" s="80"/>
      <c r="V2" s="80"/>
      <c r="W2" s="80"/>
      <c r="X2" s="80"/>
      <c r="Y2" s="80"/>
      <c r="Z2" s="80"/>
    </row>
    <row r="3" ht="14.25" customHeight="1">
      <c r="A3" s="45" t="s">
        <v>59</v>
      </c>
      <c r="B3" s="81" t="s">
        <v>55</v>
      </c>
      <c r="C3" s="81" t="s">
        <v>54</v>
      </c>
      <c r="D3" s="81" t="s">
        <v>54</v>
      </c>
      <c r="E3" s="81" t="s">
        <v>55</v>
      </c>
      <c r="F3" s="81" t="s">
        <v>55</v>
      </c>
      <c r="G3" s="81" t="s">
        <v>55</v>
      </c>
      <c r="H3" s="81" t="s">
        <v>55</v>
      </c>
      <c r="I3" s="81" t="s">
        <v>54</v>
      </c>
      <c r="J3" s="81" t="s">
        <v>55</v>
      </c>
      <c r="K3" s="81" t="s">
        <v>55</v>
      </c>
      <c r="L3" s="81" t="s">
        <v>55</v>
      </c>
      <c r="M3" s="81" t="s">
        <v>55</v>
      </c>
      <c r="N3" s="81" t="s">
        <v>55</v>
      </c>
      <c r="O3" s="81" t="s">
        <v>55</v>
      </c>
      <c r="P3" s="82" t="s">
        <v>54</v>
      </c>
      <c r="Q3" s="82" t="s">
        <v>54</v>
      </c>
      <c r="R3" s="82" t="s">
        <v>54</v>
      </c>
      <c r="S3" s="82" t="s">
        <v>54</v>
      </c>
      <c r="T3" s="80"/>
      <c r="U3" s="80"/>
      <c r="V3" s="80"/>
      <c r="W3" s="80"/>
      <c r="X3" s="80"/>
      <c r="Y3" s="80"/>
      <c r="Z3" s="80"/>
    </row>
    <row r="4" ht="14.25" customHeight="1">
      <c r="A4" s="45" t="s">
        <v>62</v>
      </c>
      <c r="B4" s="81" t="s">
        <v>55</v>
      </c>
      <c r="C4" s="81" t="s">
        <v>55</v>
      </c>
      <c r="D4" s="81" t="s">
        <v>55</v>
      </c>
      <c r="E4" s="81" t="s">
        <v>55</v>
      </c>
      <c r="F4" s="81" t="s">
        <v>55</v>
      </c>
      <c r="G4" s="81" t="s">
        <v>55</v>
      </c>
      <c r="H4" s="81" t="s">
        <v>55</v>
      </c>
      <c r="I4" s="81" t="s">
        <v>55</v>
      </c>
      <c r="J4" s="81" t="s">
        <v>55</v>
      </c>
      <c r="K4" s="81" t="s">
        <v>55</v>
      </c>
      <c r="L4" s="81" t="s">
        <v>55</v>
      </c>
      <c r="M4" s="81" t="s">
        <v>55</v>
      </c>
      <c r="N4" s="81" t="s">
        <v>55</v>
      </c>
      <c r="O4" s="81" t="s">
        <v>55</v>
      </c>
      <c r="P4" s="82" t="s">
        <v>54</v>
      </c>
      <c r="Q4" s="82" t="s">
        <v>54</v>
      </c>
      <c r="R4" s="82" t="s">
        <v>54</v>
      </c>
      <c r="S4" s="82" t="s">
        <v>54</v>
      </c>
      <c r="T4" s="80"/>
      <c r="U4" s="80"/>
      <c r="V4" s="80"/>
      <c r="W4" s="80"/>
      <c r="X4" s="80"/>
      <c r="Y4" s="80"/>
      <c r="Z4" s="80"/>
    </row>
    <row r="5" ht="14.25" customHeight="1">
      <c r="A5" s="48" t="s">
        <v>25</v>
      </c>
      <c r="B5" s="81" t="s">
        <v>55</v>
      </c>
      <c r="C5" s="81" t="s">
        <v>54</v>
      </c>
      <c r="D5" s="81" t="s">
        <v>54</v>
      </c>
      <c r="E5" s="81" t="s">
        <v>55</v>
      </c>
      <c r="F5" s="81" t="s">
        <v>55</v>
      </c>
      <c r="G5" s="81" t="s">
        <v>55</v>
      </c>
      <c r="H5" s="81" t="s">
        <v>55</v>
      </c>
      <c r="I5" s="81" t="s">
        <v>54</v>
      </c>
      <c r="J5" s="81" t="s">
        <v>55</v>
      </c>
      <c r="K5" s="81" t="s">
        <v>55</v>
      </c>
      <c r="L5" s="81" t="s">
        <v>55</v>
      </c>
      <c r="M5" s="81" t="s">
        <v>55</v>
      </c>
      <c r="N5" s="81" t="s">
        <v>54</v>
      </c>
      <c r="O5" s="81" t="s">
        <v>55</v>
      </c>
      <c r="P5" s="82" t="s">
        <v>55</v>
      </c>
      <c r="Q5" s="82" t="s">
        <v>55</v>
      </c>
      <c r="R5" s="82" t="s">
        <v>55</v>
      </c>
      <c r="S5" s="82" t="s">
        <v>55</v>
      </c>
      <c r="T5" s="80"/>
      <c r="U5" s="80"/>
      <c r="V5" s="80"/>
      <c r="W5" s="80"/>
      <c r="X5" s="80"/>
      <c r="Y5" s="80"/>
      <c r="Z5" s="80"/>
    </row>
    <row r="6" ht="14.25" customHeight="1">
      <c r="A6" s="48" t="s">
        <v>67</v>
      </c>
      <c r="B6" s="81" t="s">
        <v>55</v>
      </c>
      <c r="C6" s="81" t="s">
        <v>54</v>
      </c>
      <c r="D6" s="81" t="s">
        <v>54</v>
      </c>
      <c r="E6" s="81" t="s">
        <v>55</v>
      </c>
      <c r="F6" s="81" t="s">
        <v>55</v>
      </c>
      <c r="G6" s="81" t="s">
        <v>55</v>
      </c>
      <c r="H6" s="81" t="s">
        <v>55</v>
      </c>
      <c r="I6" s="81" t="s">
        <v>54</v>
      </c>
      <c r="J6" s="81" t="s">
        <v>55</v>
      </c>
      <c r="K6" s="81" t="s">
        <v>55</v>
      </c>
      <c r="L6" s="81" t="s">
        <v>55</v>
      </c>
      <c r="M6" s="81" t="s">
        <v>55</v>
      </c>
      <c r="N6" s="81" t="s">
        <v>55</v>
      </c>
      <c r="O6" s="81" t="s">
        <v>55</v>
      </c>
      <c r="P6" s="82" t="s">
        <v>55</v>
      </c>
      <c r="Q6" s="82" t="s">
        <v>55</v>
      </c>
      <c r="R6" s="82" t="s">
        <v>55</v>
      </c>
      <c r="S6" s="82" t="s">
        <v>55</v>
      </c>
      <c r="T6" s="80"/>
      <c r="U6" s="80"/>
      <c r="V6" s="80"/>
      <c r="W6" s="80"/>
      <c r="X6" s="80"/>
      <c r="Y6" s="80"/>
      <c r="Z6" s="80"/>
    </row>
    <row r="7" ht="14.25" customHeight="1">
      <c r="A7" s="48" t="s">
        <v>69</v>
      </c>
      <c r="B7" s="81" t="s">
        <v>55</v>
      </c>
      <c r="C7" s="81" t="s">
        <v>54</v>
      </c>
      <c r="D7" s="81" t="s">
        <v>54</v>
      </c>
      <c r="E7" s="81" t="s">
        <v>55</v>
      </c>
      <c r="F7" s="81" t="s">
        <v>55</v>
      </c>
      <c r="G7" s="81" t="s">
        <v>55</v>
      </c>
      <c r="H7" s="81" t="s">
        <v>55</v>
      </c>
      <c r="I7" s="81" t="s">
        <v>54</v>
      </c>
      <c r="J7" s="81" t="s">
        <v>55</v>
      </c>
      <c r="K7" s="81" t="s">
        <v>55</v>
      </c>
      <c r="L7" s="81" t="s">
        <v>55</v>
      </c>
      <c r="M7" s="81" t="s">
        <v>55</v>
      </c>
      <c r="N7" s="81" t="s">
        <v>54</v>
      </c>
      <c r="O7" s="81" t="s">
        <v>55</v>
      </c>
      <c r="P7" s="82" t="s">
        <v>55</v>
      </c>
      <c r="Q7" s="82" t="s">
        <v>55</v>
      </c>
      <c r="R7" s="82" t="s">
        <v>55</v>
      </c>
      <c r="S7" s="82" t="s">
        <v>55</v>
      </c>
      <c r="T7" s="80"/>
      <c r="U7" s="80"/>
      <c r="V7" s="80"/>
      <c r="W7" s="80"/>
      <c r="X7" s="80"/>
      <c r="Y7" s="80"/>
      <c r="Z7" s="80"/>
    </row>
    <row r="8" ht="14.25" customHeight="1">
      <c r="A8" s="48" t="s">
        <v>71</v>
      </c>
      <c r="B8" s="81" t="s">
        <v>55</v>
      </c>
      <c r="C8" s="81" t="s">
        <v>54</v>
      </c>
      <c r="D8" s="81" t="s">
        <v>54</v>
      </c>
      <c r="E8" s="81" t="s">
        <v>55</v>
      </c>
      <c r="F8" s="81" t="s">
        <v>55</v>
      </c>
      <c r="G8" s="81" t="s">
        <v>55</v>
      </c>
      <c r="H8" s="81" t="s">
        <v>55</v>
      </c>
      <c r="I8" s="81" t="s">
        <v>54</v>
      </c>
      <c r="J8" s="81" t="s">
        <v>55</v>
      </c>
      <c r="K8" s="81" t="s">
        <v>55</v>
      </c>
      <c r="L8" s="81" t="s">
        <v>55</v>
      </c>
      <c r="M8" s="81" t="s">
        <v>55</v>
      </c>
      <c r="N8" s="81" t="s">
        <v>54</v>
      </c>
      <c r="O8" s="81" t="s">
        <v>55</v>
      </c>
      <c r="P8" s="82" t="s">
        <v>55</v>
      </c>
      <c r="Q8" s="82" t="s">
        <v>55</v>
      </c>
      <c r="R8" s="82" t="s">
        <v>55</v>
      </c>
      <c r="S8" s="82" t="s">
        <v>55</v>
      </c>
      <c r="T8" s="80"/>
      <c r="U8" s="80"/>
      <c r="V8" s="80"/>
      <c r="W8" s="80"/>
      <c r="X8" s="80"/>
      <c r="Y8" s="80"/>
      <c r="Z8" s="80"/>
    </row>
    <row r="9" ht="14.25" customHeight="1">
      <c r="A9" s="48" t="s">
        <v>74</v>
      </c>
      <c r="B9" s="81" t="s">
        <v>55</v>
      </c>
      <c r="C9" s="81" t="s">
        <v>55</v>
      </c>
      <c r="D9" s="81" t="s">
        <v>54</v>
      </c>
      <c r="E9" s="81" t="s">
        <v>55</v>
      </c>
      <c r="F9" s="81" t="s">
        <v>55</v>
      </c>
      <c r="G9" s="81" t="s">
        <v>55</v>
      </c>
      <c r="H9" s="81" t="s">
        <v>55</v>
      </c>
      <c r="I9" s="81" t="s">
        <v>55</v>
      </c>
      <c r="J9" s="81" t="s">
        <v>55</v>
      </c>
      <c r="K9" s="81" t="s">
        <v>55</v>
      </c>
      <c r="L9" s="81" t="s">
        <v>55</v>
      </c>
      <c r="M9" s="81" t="s">
        <v>55</v>
      </c>
      <c r="N9" s="81" t="s">
        <v>54</v>
      </c>
      <c r="O9" s="81" t="s">
        <v>55</v>
      </c>
      <c r="P9" s="82" t="s">
        <v>55</v>
      </c>
      <c r="Q9" s="82" t="s">
        <v>55</v>
      </c>
      <c r="R9" s="82" t="s">
        <v>55</v>
      </c>
      <c r="S9" s="82" t="s">
        <v>55</v>
      </c>
      <c r="T9" s="80"/>
      <c r="U9" s="80"/>
      <c r="V9" s="80"/>
      <c r="W9" s="80"/>
      <c r="X9" s="80"/>
      <c r="Y9" s="80"/>
      <c r="Z9" s="80"/>
    </row>
    <row r="10" ht="14.25" customHeight="1">
      <c r="A10" s="48" t="s">
        <v>77</v>
      </c>
      <c r="B10" s="81" t="s">
        <v>55</v>
      </c>
      <c r="C10" s="81" t="s">
        <v>54</v>
      </c>
      <c r="D10" s="81" t="s">
        <v>54</v>
      </c>
      <c r="E10" s="81" t="s">
        <v>55</v>
      </c>
      <c r="F10" s="81" t="s">
        <v>55</v>
      </c>
      <c r="G10" s="81" t="s">
        <v>55</v>
      </c>
      <c r="H10" s="81" t="s">
        <v>55</v>
      </c>
      <c r="I10" s="81" t="s">
        <v>54</v>
      </c>
      <c r="J10" s="81" t="s">
        <v>55</v>
      </c>
      <c r="K10" s="81" t="s">
        <v>55</v>
      </c>
      <c r="L10" s="81" t="s">
        <v>55</v>
      </c>
      <c r="M10" s="81" t="s">
        <v>55</v>
      </c>
      <c r="N10" s="81" t="s">
        <v>54</v>
      </c>
      <c r="O10" s="81" t="s">
        <v>55</v>
      </c>
      <c r="P10" s="82" t="s">
        <v>55</v>
      </c>
      <c r="Q10" s="82" t="s">
        <v>55</v>
      </c>
      <c r="R10" s="82" t="s">
        <v>55</v>
      </c>
      <c r="S10" s="82" t="s">
        <v>55</v>
      </c>
      <c r="T10" s="80"/>
      <c r="U10" s="80"/>
      <c r="V10" s="80"/>
      <c r="W10" s="80"/>
      <c r="X10" s="80"/>
      <c r="Y10" s="80"/>
      <c r="Z10" s="80"/>
    </row>
    <row r="11" ht="14.25" customHeight="1">
      <c r="A11" s="83" t="s">
        <v>31</v>
      </c>
      <c r="B11" s="81" t="s">
        <v>55</v>
      </c>
      <c r="C11" s="81" t="s">
        <v>55</v>
      </c>
      <c r="D11" s="81" t="s">
        <v>54</v>
      </c>
      <c r="E11" s="81" t="s">
        <v>55</v>
      </c>
      <c r="F11" s="81" t="s">
        <v>55</v>
      </c>
      <c r="G11" s="81" t="s">
        <v>55</v>
      </c>
      <c r="H11" s="81" t="s">
        <v>55</v>
      </c>
      <c r="I11" s="81" t="s">
        <v>55</v>
      </c>
      <c r="J11" s="81" t="s">
        <v>55</v>
      </c>
      <c r="K11" s="81" t="s">
        <v>55</v>
      </c>
      <c r="L11" s="81" t="s">
        <v>55</v>
      </c>
      <c r="M11" s="81" t="s">
        <v>55</v>
      </c>
      <c r="N11" s="81" t="s">
        <v>55</v>
      </c>
      <c r="O11" s="81" t="s">
        <v>55</v>
      </c>
      <c r="P11" s="82" t="s">
        <v>54</v>
      </c>
      <c r="Q11" s="82" t="s">
        <v>54</v>
      </c>
      <c r="R11" s="82" t="s">
        <v>54</v>
      </c>
      <c r="S11" s="82" t="s">
        <v>54</v>
      </c>
      <c r="T11" s="80"/>
      <c r="U11" s="80"/>
      <c r="V11" s="80"/>
      <c r="W11" s="80"/>
      <c r="X11" s="80"/>
      <c r="Y11" s="80"/>
      <c r="Z11" s="80"/>
    </row>
    <row r="12" ht="14.25" customHeight="1">
      <c r="A12" s="83" t="s">
        <v>60</v>
      </c>
      <c r="B12" s="81" t="s">
        <v>55</v>
      </c>
      <c r="C12" s="81" t="s">
        <v>55</v>
      </c>
      <c r="D12" s="81" t="s">
        <v>55</v>
      </c>
      <c r="E12" s="81" t="s">
        <v>55</v>
      </c>
      <c r="F12" s="81" t="s">
        <v>55</v>
      </c>
      <c r="G12" s="81" t="s">
        <v>55</v>
      </c>
      <c r="H12" s="81" t="s">
        <v>55</v>
      </c>
      <c r="I12" s="81" t="s">
        <v>55</v>
      </c>
      <c r="J12" s="81" t="s">
        <v>55</v>
      </c>
      <c r="K12" s="81" t="s">
        <v>55</v>
      </c>
      <c r="L12" s="81" t="s">
        <v>55</v>
      </c>
      <c r="M12" s="81" t="s">
        <v>55</v>
      </c>
      <c r="N12" s="81" t="s">
        <v>55</v>
      </c>
      <c r="O12" s="81" t="s">
        <v>55</v>
      </c>
      <c r="P12" s="82" t="s">
        <v>54</v>
      </c>
      <c r="Q12" s="82" t="s">
        <v>54</v>
      </c>
      <c r="R12" s="82" t="s">
        <v>54</v>
      </c>
      <c r="S12" s="82" t="s">
        <v>54</v>
      </c>
      <c r="T12" s="80"/>
      <c r="U12" s="80"/>
      <c r="V12" s="80"/>
      <c r="W12" s="80"/>
      <c r="X12" s="80"/>
      <c r="Y12" s="80"/>
      <c r="Z12" s="80"/>
    </row>
    <row r="13" ht="14.25" customHeight="1">
      <c r="A13" s="83" t="s">
        <v>63</v>
      </c>
      <c r="B13" s="81" t="s">
        <v>55</v>
      </c>
      <c r="C13" s="81" t="s">
        <v>54</v>
      </c>
      <c r="D13" s="81" t="s">
        <v>54</v>
      </c>
      <c r="E13" s="81" t="s">
        <v>55</v>
      </c>
      <c r="F13" s="81" t="s">
        <v>55</v>
      </c>
      <c r="G13" s="81" t="s">
        <v>55</v>
      </c>
      <c r="H13" s="81" t="s">
        <v>55</v>
      </c>
      <c r="I13" s="81" t="s">
        <v>54</v>
      </c>
      <c r="J13" s="81" t="s">
        <v>55</v>
      </c>
      <c r="K13" s="81" t="s">
        <v>55</v>
      </c>
      <c r="L13" s="81" t="s">
        <v>55</v>
      </c>
      <c r="M13" s="81" t="s">
        <v>55</v>
      </c>
      <c r="N13" s="81" t="s">
        <v>55</v>
      </c>
      <c r="O13" s="81" t="s">
        <v>55</v>
      </c>
      <c r="P13" s="82" t="s">
        <v>54</v>
      </c>
      <c r="Q13" s="82" t="s">
        <v>54</v>
      </c>
      <c r="R13" s="82" t="s">
        <v>54</v>
      </c>
      <c r="S13" s="82" t="s">
        <v>54</v>
      </c>
      <c r="T13" s="80"/>
      <c r="U13" s="80"/>
      <c r="V13" s="80"/>
      <c r="W13" s="80"/>
      <c r="X13" s="80"/>
      <c r="Y13" s="80"/>
      <c r="Z13" s="80"/>
    </row>
    <row r="14" ht="14.25" customHeight="1">
      <c r="A14" s="83" t="s">
        <v>65</v>
      </c>
      <c r="B14" s="81" t="s">
        <v>55</v>
      </c>
      <c r="C14" s="81" t="s">
        <v>55</v>
      </c>
      <c r="D14" s="81" t="s">
        <v>54</v>
      </c>
      <c r="E14" s="81" t="s">
        <v>55</v>
      </c>
      <c r="F14" s="81" t="s">
        <v>55</v>
      </c>
      <c r="G14" s="81" t="s">
        <v>55</v>
      </c>
      <c r="H14" s="81" t="s">
        <v>55</v>
      </c>
      <c r="I14" s="81" t="s">
        <v>55</v>
      </c>
      <c r="J14" s="81" t="s">
        <v>55</v>
      </c>
      <c r="K14" s="81" t="s">
        <v>55</v>
      </c>
      <c r="L14" s="81" t="s">
        <v>55</v>
      </c>
      <c r="M14" s="81" t="s">
        <v>55</v>
      </c>
      <c r="N14" s="81" t="s">
        <v>55</v>
      </c>
      <c r="O14" s="81" t="s">
        <v>55</v>
      </c>
      <c r="P14" s="82" t="s">
        <v>54</v>
      </c>
      <c r="Q14" s="82" t="s">
        <v>54</v>
      </c>
      <c r="R14" s="82" t="s">
        <v>54</v>
      </c>
      <c r="S14" s="82" t="s">
        <v>54</v>
      </c>
      <c r="T14" s="80"/>
      <c r="U14" s="80"/>
      <c r="V14" s="80"/>
      <c r="W14" s="80"/>
      <c r="X14" s="80"/>
      <c r="Y14" s="80"/>
      <c r="Z14" s="80"/>
    </row>
    <row r="15" ht="14.25" customHeight="1">
      <c r="A15" s="83" t="s">
        <v>66</v>
      </c>
      <c r="B15" s="81" t="s">
        <v>55</v>
      </c>
      <c r="C15" s="81" t="s">
        <v>55</v>
      </c>
      <c r="D15" s="81" t="s">
        <v>55</v>
      </c>
      <c r="E15" s="81" t="s">
        <v>55</v>
      </c>
      <c r="F15" s="81" t="s">
        <v>55</v>
      </c>
      <c r="G15" s="81" t="s">
        <v>55</v>
      </c>
      <c r="H15" s="81" t="s">
        <v>55</v>
      </c>
      <c r="I15" s="81" t="s">
        <v>55</v>
      </c>
      <c r="J15" s="81" t="s">
        <v>55</v>
      </c>
      <c r="K15" s="81" t="s">
        <v>55</v>
      </c>
      <c r="L15" s="81" t="s">
        <v>55</v>
      </c>
      <c r="M15" s="81" t="s">
        <v>55</v>
      </c>
      <c r="N15" s="81" t="s">
        <v>55</v>
      </c>
      <c r="O15" s="81" t="s">
        <v>55</v>
      </c>
      <c r="P15" s="82" t="s">
        <v>55</v>
      </c>
      <c r="Q15" s="82" t="s">
        <v>55</v>
      </c>
      <c r="R15" s="82" t="s">
        <v>55</v>
      </c>
      <c r="S15" s="82" t="s">
        <v>55</v>
      </c>
      <c r="T15" s="80"/>
      <c r="U15" s="80"/>
      <c r="V15" s="80"/>
      <c r="W15" s="80"/>
      <c r="X15" s="80"/>
      <c r="Y15" s="80"/>
      <c r="Z15" s="80"/>
    </row>
    <row r="16" ht="14.25" customHeight="1">
      <c r="A16" s="84" t="s">
        <v>26</v>
      </c>
      <c r="B16" s="81" t="s">
        <v>55</v>
      </c>
      <c r="C16" s="81" t="s">
        <v>55</v>
      </c>
      <c r="D16" s="81" t="s">
        <v>55</v>
      </c>
      <c r="E16" s="81" t="s">
        <v>55</v>
      </c>
      <c r="F16" s="81" t="s">
        <v>55</v>
      </c>
      <c r="G16" s="81" t="s">
        <v>55</v>
      </c>
      <c r="H16" s="81" t="s">
        <v>55</v>
      </c>
      <c r="I16" s="81" t="s">
        <v>55</v>
      </c>
      <c r="J16" s="81" t="s">
        <v>55</v>
      </c>
      <c r="K16" s="81" t="s">
        <v>55</v>
      </c>
      <c r="L16" s="81" t="s">
        <v>55</v>
      </c>
      <c r="M16" s="81" t="s">
        <v>55</v>
      </c>
      <c r="N16" s="81" t="s">
        <v>55</v>
      </c>
      <c r="O16" s="81" t="s">
        <v>55</v>
      </c>
      <c r="P16" s="82" t="s">
        <v>54</v>
      </c>
      <c r="Q16" s="82" t="s">
        <v>55</v>
      </c>
      <c r="R16" s="82" t="s">
        <v>55</v>
      </c>
      <c r="S16" s="82" t="s">
        <v>55</v>
      </c>
      <c r="T16" s="80"/>
      <c r="U16" s="80"/>
      <c r="V16" s="80"/>
      <c r="W16" s="80"/>
      <c r="X16" s="80"/>
      <c r="Y16" s="80"/>
      <c r="Z16" s="80"/>
    </row>
    <row r="17" ht="14.25" customHeight="1">
      <c r="A17" s="84" t="s">
        <v>72</v>
      </c>
      <c r="B17" s="81" t="s">
        <v>55</v>
      </c>
      <c r="C17" s="81" t="s">
        <v>55</v>
      </c>
      <c r="D17" s="81" t="s">
        <v>55</v>
      </c>
      <c r="E17" s="81" t="s">
        <v>55</v>
      </c>
      <c r="F17" s="81" t="s">
        <v>55</v>
      </c>
      <c r="G17" s="81" t="s">
        <v>55</v>
      </c>
      <c r="H17" s="81" t="s">
        <v>55</v>
      </c>
      <c r="I17" s="81" t="s">
        <v>54</v>
      </c>
      <c r="J17" s="81" t="s">
        <v>55</v>
      </c>
      <c r="K17" s="81" t="s">
        <v>55</v>
      </c>
      <c r="L17" s="81" t="s">
        <v>55</v>
      </c>
      <c r="M17" s="81" t="s">
        <v>55</v>
      </c>
      <c r="N17" s="81" t="s">
        <v>55</v>
      </c>
      <c r="O17" s="81" t="s">
        <v>55</v>
      </c>
      <c r="P17" s="82" t="s">
        <v>55</v>
      </c>
      <c r="Q17" s="82" t="s">
        <v>55</v>
      </c>
      <c r="R17" s="82" t="s">
        <v>55</v>
      </c>
      <c r="S17" s="82" t="s">
        <v>55</v>
      </c>
      <c r="T17" s="80"/>
      <c r="U17" s="80"/>
      <c r="V17" s="80"/>
      <c r="W17" s="80"/>
      <c r="X17" s="80"/>
      <c r="Y17" s="80"/>
      <c r="Z17" s="80"/>
    </row>
    <row r="18" ht="14.25" customHeight="1">
      <c r="A18" s="84" t="s">
        <v>75</v>
      </c>
      <c r="B18" s="81" t="s">
        <v>55</v>
      </c>
      <c r="C18" s="81" t="s">
        <v>54</v>
      </c>
      <c r="D18" s="81" t="s">
        <v>55</v>
      </c>
      <c r="E18" s="81" t="s">
        <v>55</v>
      </c>
      <c r="F18" s="81" t="s">
        <v>55</v>
      </c>
      <c r="G18" s="81" t="s">
        <v>55</v>
      </c>
      <c r="H18" s="81" t="s">
        <v>55</v>
      </c>
      <c r="I18" s="81" t="s">
        <v>54</v>
      </c>
      <c r="J18" s="81" t="s">
        <v>55</v>
      </c>
      <c r="K18" s="81" t="s">
        <v>55</v>
      </c>
      <c r="L18" s="81" t="s">
        <v>55</v>
      </c>
      <c r="M18" s="81" t="s">
        <v>54</v>
      </c>
      <c r="N18" s="81" t="s">
        <v>54</v>
      </c>
      <c r="O18" s="81" t="s">
        <v>55</v>
      </c>
      <c r="P18" s="82" t="s">
        <v>54</v>
      </c>
      <c r="Q18" s="82" t="s">
        <v>55</v>
      </c>
      <c r="R18" s="82" t="s">
        <v>55</v>
      </c>
      <c r="S18" s="82" t="s">
        <v>55</v>
      </c>
      <c r="T18" s="80"/>
      <c r="U18" s="80"/>
      <c r="V18" s="80"/>
      <c r="W18" s="80"/>
      <c r="X18" s="80"/>
      <c r="Y18" s="80"/>
      <c r="Z18" s="80"/>
    </row>
    <row r="19" ht="14.25" customHeight="1">
      <c r="A19" s="84" t="s">
        <v>78</v>
      </c>
      <c r="B19" s="81" t="s">
        <v>55</v>
      </c>
      <c r="C19" s="81" t="s">
        <v>54</v>
      </c>
      <c r="D19" s="81" t="s">
        <v>55</v>
      </c>
      <c r="E19" s="81" t="s">
        <v>55</v>
      </c>
      <c r="F19" s="81" t="s">
        <v>55</v>
      </c>
      <c r="G19" s="81" t="s">
        <v>55</v>
      </c>
      <c r="H19" s="81" t="s">
        <v>55</v>
      </c>
      <c r="I19" s="81" t="s">
        <v>54</v>
      </c>
      <c r="J19" s="81" t="s">
        <v>55</v>
      </c>
      <c r="K19" s="81" t="s">
        <v>55</v>
      </c>
      <c r="L19" s="81" t="s">
        <v>55</v>
      </c>
      <c r="M19" s="81" t="s">
        <v>54</v>
      </c>
      <c r="N19" s="81" t="s">
        <v>54</v>
      </c>
      <c r="O19" s="81" t="s">
        <v>55</v>
      </c>
      <c r="P19" s="82" t="s">
        <v>54</v>
      </c>
      <c r="Q19" s="82" t="s">
        <v>55</v>
      </c>
      <c r="R19" s="82" t="s">
        <v>55</v>
      </c>
      <c r="S19" s="82" t="s">
        <v>55</v>
      </c>
      <c r="T19" s="80"/>
      <c r="U19" s="80"/>
      <c r="V19" s="80"/>
      <c r="W19" s="80"/>
      <c r="X19" s="80"/>
      <c r="Y19" s="80"/>
      <c r="Z19" s="80"/>
    </row>
    <row r="20" ht="14.25" customHeight="1">
      <c r="A20" s="84" t="s">
        <v>28</v>
      </c>
      <c r="B20" s="81" t="s">
        <v>55</v>
      </c>
      <c r="C20" s="81" t="s">
        <v>55</v>
      </c>
      <c r="D20" s="81" t="s">
        <v>54</v>
      </c>
      <c r="E20" s="81" t="s">
        <v>55</v>
      </c>
      <c r="F20" s="81" t="s">
        <v>55</v>
      </c>
      <c r="G20" s="81" t="s">
        <v>55</v>
      </c>
      <c r="H20" s="81" t="s">
        <v>55</v>
      </c>
      <c r="I20" s="81" t="s">
        <v>55</v>
      </c>
      <c r="J20" s="81" t="s">
        <v>55</v>
      </c>
      <c r="K20" s="81" t="s">
        <v>55</v>
      </c>
      <c r="L20" s="81" t="s">
        <v>55</v>
      </c>
      <c r="M20" s="81" t="s">
        <v>54</v>
      </c>
      <c r="N20" s="81" t="s">
        <v>54</v>
      </c>
      <c r="O20" s="81" t="s">
        <v>55</v>
      </c>
      <c r="P20" s="82" t="s">
        <v>54</v>
      </c>
      <c r="Q20" s="82" t="s">
        <v>55</v>
      </c>
      <c r="R20" s="82" t="s">
        <v>55</v>
      </c>
      <c r="S20" s="82" t="s">
        <v>55</v>
      </c>
      <c r="T20" s="80"/>
      <c r="U20" s="80"/>
      <c r="V20" s="80"/>
      <c r="W20" s="80"/>
      <c r="X20" s="80"/>
      <c r="Y20" s="80"/>
      <c r="Z20" s="80"/>
    </row>
    <row r="21" ht="14.25" customHeight="1">
      <c r="A21" s="84" t="s">
        <v>79</v>
      </c>
      <c r="B21" s="81" t="s">
        <v>55</v>
      </c>
      <c r="C21" s="81" t="s">
        <v>54</v>
      </c>
      <c r="D21" s="81" t="s">
        <v>55</v>
      </c>
      <c r="E21" s="81" t="s">
        <v>55</v>
      </c>
      <c r="F21" s="81" t="s">
        <v>55</v>
      </c>
      <c r="G21" s="81" t="s">
        <v>55</v>
      </c>
      <c r="H21" s="81" t="s">
        <v>55</v>
      </c>
      <c r="I21" s="81" t="s">
        <v>54</v>
      </c>
      <c r="J21" s="81" t="s">
        <v>55</v>
      </c>
      <c r="K21" s="81" t="s">
        <v>55</v>
      </c>
      <c r="L21" s="81" t="s">
        <v>55</v>
      </c>
      <c r="M21" s="81" t="s">
        <v>55</v>
      </c>
      <c r="N21" s="81" t="s">
        <v>55</v>
      </c>
      <c r="O21" s="81" t="s">
        <v>55</v>
      </c>
      <c r="P21" s="82" t="s">
        <v>54</v>
      </c>
      <c r="Q21" s="82" t="s">
        <v>55</v>
      </c>
      <c r="R21" s="82" t="s">
        <v>55</v>
      </c>
      <c r="S21" s="82" t="s">
        <v>55</v>
      </c>
      <c r="T21" s="80"/>
      <c r="U21" s="80"/>
      <c r="V21" s="80"/>
      <c r="W21" s="80"/>
      <c r="X21" s="80"/>
      <c r="Y21" s="80"/>
      <c r="Z21" s="80"/>
    </row>
    <row r="22" ht="14.25" customHeight="1">
      <c r="A22" s="84" t="s">
        <v>70</v>
      </c>
      <c r="B22" s="81" t="s">
        <v>55</v>
      </c>
      <c r="C22" s="81" t="s">
        <v>55</v>
      </c>
      <c r="D22" s="81" t="s">
        <v>54</v>
      </c>
      <c r="E22" s="81" t="s">
        <v>55</v>
      </c>
      <c r="F22" s="81" t="s">
        <v>55</v>
      </c>
      <c r="G22" s="81" t="s">
        <v>55</v>
      </c>
      <c r="H22" s="81" t="s">
        <v>55</v>
      </c>
      <c r="I22" s="81" t="s">
        <v>55</v>
      </c>
      <c r="J22" s="81" t="s">
        <v>55</v>
      </c>
      <c r="K22" s="81" t="s">
        <v>55</v>
      </c>
      <c r="L22" s="81" t="s">
        <v>55</v>
      </c>
      <c r="M22" s="81" t="s">
        <v>55</v>
      </c>
      <c r="N22" s="81" t="s">
        <v>55</v>
      </c>
      <c r="O22" s="81" t="s">
        <v>55</v>
      </c>
      <c r="P22" s="82" t="s">
        <v>54</v>
      </c>
      <c r="Q22" s="82" t="s">
        <v>55</v>
      </c>
      <c r="R22" s="82" t="s">
        <v>55</v>
      </c>
      <c r="S22" s="82" t="s">
        <v>55</v>
      </c>
      <c r="T22" s="80"/>
      <c r="U22" s="80"/>
      <c r="V22" s="80"/>
      <c r="W22" s="80"/>
      <c r="X22" s="80"/>
      <c r="Y22" s="80"/>
      <c r="Z22" s="80"/>
    </row>
    <row r="23" ht="14.25" customHeight="1">
      <c r="A23" s="84" t="s">
        <v>80</v>
      </c>
      <c r="B23" s="81" t="s">
        <v>55</v>
      </c>
      <c r="C23" s="81" t="s">
        <v>54</v>
      </c>
      <c r="D23" s="81" t="s">
        <v>54</v>
      </c>
      <c r="E23" s="81" t="s">
        <v>55</v>
      </c>
      <c r="F23" s="81" t="s">
        <v>55</v>
      </c>
      <c r="G23" s="81" t="s">
        <v>55</v>
      </c>
      <c r="H23" s="81" t="s">
        <v>55</v>
      </c>
      <c r="I23" s="81" t="s">
        <v>54</v>
      </c>
      <c r="J23" s="81" t="s">
        <v>55</v>
      </c>
      <c r="K23" s="81" t="s">
        <v>55</v>
      </c>
      <c r="L23" s="81" t="s">
        <v>55</v>
      </c>
      <c r="M23" s="81" t="s">
        <v>55</v>
      </c>
      <c r="N23" s="81" t="s">
        <v>55</v>
      </c>
      <c r="O23" s="81" t="s">
        <v>55</v>
      </c>
      <c r="P23" s="82" t="s">
        <v>54</v>
      </c>
      <c r="Q23" s="82" t="s">
        <v>55</v>
      </c>
      <c r="R23" s="82" t="s">
        <v>55</v>
      </c>
      <c r="S23" s="82" t="s">
        <v>55</v>
      </c>
      <c r="T23" s="80"/>
      <c r="U23" s="80"/>
      <c r="V23" s="80"/>
      <c r="W23" s="80"/>
      <c r="X23" s="80"/>
      <c r="Y23" s="80"/>
      <c r="Z23" s="80"/>
    </row>
    <row r="24" ht="14.25" customHeight="1">
      <c r="A24" s="84" t="s">
        <v>81</v>
      </c>
      <c r="B24" s="81" t="s">
        <v>55</v>
      </c>
      <c r="C24" s="81" t="s">
        <v>54</v>
      </c>
      <c r="D24" s="81" t="s">
        <v>54</v>
      </c>
      <c r="E24" s="81" t="s">
        <v>55</v>
      </c>
      <c r="F24" s="81" t="s">
        <v>55</v>
      </c>
      <c r="G24" s="81" t="s">
        <v>55</v>
      </c>
      <c r="H24" s="81" t="s">
        <v>55</v>
      </c>
      <c r="I24" s="81" t="s">
        <v>54</v>
      </c>
      <c r="J24" s="81" t="s">
        <v>55</v>
      </c>
      <c r="K24" s="81" t="s">
        <v>55</v>
      </c>
      <c r="L24" s="81" t="s">
        <v>55</v>
      </c>
      <c r="M24" s="81" t="s">
        <v>55</v>
      </c>
      <c r="N24" s="81" t="s">
        <v>55</v>
      </c>
      <c r="O24" s="81" t="s">
        <v>55</v>
      </c>
      <c r="P24" s="82" t="s">
        <v>54</v>
      </c>
      <c r="Q24" s="82" t="s">
        <v>54</v>
      </c>
      <c r="R24" s="82" t="s">
        <v>54</v>
      </c>
      <c r="S24" s="82" t="s">
        <v>54</v>
      </c>
      <c r="T24" s="80"/>
      <c r="U24" s="80"/>
      <c r="V24" s="80"/>
      <c r="W24" s="80"/>
      <c r="X24" s="80"/>
      <c r="Y24" s="80"/>
      <c r="Z24" s="80"/>
    </row>
    <row r="25" ht="14.25" customHeight="1">
      <c r="A25" s="85" t="s">
        <v>58</v>
      </c>
      <c r="B25" s="81" t="s">
        <v>55</v>
      </c>
      <c r="C25" s="81" t="s">
        <v>54</v>
      </c>
      <c r="D25" s="81" t="s">
        <v>55</v>
      </c>
      <c r="E25" s="81" t="s">
        <v>55</v>
      </c>
      <c r="F25" s="81" t="s">
        <v>55</v>
      </c>
      <c r="G25" s="81" t="s">
        <v>55</v>
      </c>
      <c r="H25" s="81" t="s">
        <v>55</v>
      </c>
      <c r="I25" s="81" t="s">
        <v>54</v>
      </c>
      <c r="J25" s="81" t="s">
        <v>55</v>
      </c>
      <c r="K25" s="81" t="s">
        <v>55</v>
      </c>
      <c r="L25" s="81" t="s">
        <v>55</v>
      </c>
      <c r="M25" s="81" t="s">
        <v>55</v>
      </c>
      <c r="N25" s="81" t="s">
        <v>55</v>
      </c>
      <c r="O25" s="81" t="s">
        <v>55</v>
      </c>
      <c r="P25" s="82" t="s">
        <v>54</v>
      </c>
      <c r="Q25" s="82" t="s">
        <v>55</v>
      </c>
      <c r="R25" s="82" t="s">
        <v>55</v>
      </c>
      <c r="S25" s="82" t="s">
        <v>55</v>
      </c>
      <c r="T25" s="80"/>
      <c r="U25" s="80"/>
      <c r="V25" s="80"/>
      <c r="W25" s="80"/>
      <c r="X25" s="80"/>
      <c r="Y25" s="80"/>
      <c r="Z25" s="80"/>
    </row>
    <row r="26" ht="14.25" customHeight="1">
      <c r="A26" s="85" t="s">
        <v>61</v>
      </c>
      <c r="B26" s="81" t="s">
        <v>55</v>
      </c>
      <c r="C26" s="81" t="s">
        <v>54</v>
      </c>
      <c r="D26" s="81" t="s">
        <v>55</v>
      </c>
      <c r="E26" s="81" t="s">
        <v>55</v>
      </c>
      <c r="F26" s="81" t="s">
        <v>55</v>
      </c>
      <c r="G26" s="81" t="s">
        <v>55</v>
      </c>
      <c r="H26" s="81" t="s">
        <v>55</v>
      </c>
      <c r="I26" s="81" t="s">
        <v>54</v>
      </c>
      <c r="J26" s="81" t="s">
        <v>55</v>
      </c>
      <c r="K26" s="81" t="s">
        <v>55</v>
      </c>
      <c r="L26" s="81" t="s">
        <v>55</v>
      </c>
      <c r="M26" s="81" t="s">
        <v>55</v>
      </c>
      <c r="N26" s="81" t="s">
        <v>55</v>
      </c>
      <c r="O26" s="81" t="s">
        <v>55</v>
      </c>
      <c r="P26" s="82" t="s">
        <v>54</v>
      </c>
      <c r="Q26" s="82" t="s">
        <v>55</v>
      </c>
      <c r="R26" s="82" t="s">
        <v>55</v>
      </c>
      <c r="S26" s="82" t="s">
        <v>55</v>
      </c>
      <c r="T26" s="80"/>
      <c r="U26" s="80"/>
      <c r="V26" s="80"/>
      <c r="W26" s="80"/>
      <c r="X26" s="80"/>
      <c r="Y26" s="80"/>
      <c r="Z26" s="80"/>
    </row>
    <row r="27" ht="14.25" customHeight="1">
      <c r="A27" s="85" t="s">
        <v>64</v>
      </c>
      <c r="B27" s="81" t="s">
        <v>55</v>
      </c>
      <c r="C27" s="81" t="s">
        <v>54</v>
      </c>
      <c r="D27" s="81" t="s">
        <v>54</v>
      </c>
      <c r="E27" s="81" t="s">
        <v>55</v>
      </c>
      <c r="F27" s="81" t="s">
        <v>55</v>
      </c>
      <c r="G27" s="81" t="s">
        <v>55</v>
      </c>
      <c r="H27" s="81" t="s">
        <v>55</v>
      </c>
      <c r="I27" s="81" t="s">
        <v>54</v>
      </c>
      <c r="J27" s="81" t="s">
        <v>55</v>
      </c>
      <c r="K27" s="81" t="s">
        <v>55</v>
      </c>
      <c r="L27" s="81" t="s">
        <v>55</v>
      </c>
      <c r="M27" s="81" t="s">
        <v>54</v>
      </c>
      <c r="N27" s="81" t="s">
        <v>54</v>
      </c>
      <c r="O27" s="81" t="s">
        <v>55</v>
      </c>
      <c r="P27" s="82" t="s">
        <v>54</v>
      </c>
      <c r="Q27" s="82" t="s">
        <v>55</v>
      </c>
      <c r="R27" s="82" t="s">
        <v>55</v>
      </c>
      <c r="S27" s="82" t="s">
        <v>55</v>
      </c>
      <c r="T27" s="80"/>
      <c r="U27" s="80"/>
      <c r="V27" s="80"/>
      <c r="W27" s="80"/>
      <c r="X27" s="80"/>
      <c r="Y27" s="80"/>
      <c r="Z27" s="80"/>
    </row>
    <row r="28" ht="14.25" customHeight="1">
      <c r="A28" s="86" t="s">
        <v>29</v>
      </c>
      <c r="B28" s="81" t="s">
        <v>55</v>
      </c>
      <c r="C28" s="81" t="s">
        <v>54</v>
      </c>
      <c r="D28" s="81" t="s">
        <v>54</v>
      </c>
      <c r="E28" s="81" t="s">
        <v>55</v>
      </c>
      <c r="F28" s="81" t="s">
        <v>55</v>
      </c>
      <c r="G28" s="81" t="s">
        <v>55</v>
      </c>
      <c r="H28" s="81" t="s">
        <v>55</v>
      </c>
      <c r="I28" s="81" t="s">
        <v>54</v>
      </c>
      <c r="J28" s="81" t="s">
        <v>55</v>
      </c>
      <c r="K28" s="81" t="s">
        <v>55</v>
      </c>
      <c r="L28" s="81" t="s">
        <v>55</v>
      </c>
      <c r="M28" s="81" t="s">
        <v>54</v>
      </c>
      <c r="N28" s="81" t="s">
        <v>54</v>
      </c>
      <c r="O28" s="81" t="s">
        <v>55</v>
      </c>
      <c r="P28" s="82" t="s">
        <v>54</v>
      </c>
      <c r="Q28" s="82" t="s">
        <v>55</v>
      </c>
      <c r="R28" s="82" t="s">
        <v>55</v>
      </c>
      <c r="S28" s="82" t="s">
        <v>55</v>
      </c>
      <c r="T28" s="80"/>
      <c r="U28" s="80"/>
      <c r="V28" s="80"/>
      <c r="W28" s="80"/>
      <c r="X28" s="80"/>
      <c r="Y28" s="80"/>
      <c r="Z28" s="80"/>
    </row>
    <row r="29" ht="14.25" customHeight="1">
      <c r="A29" s="86" t="s">
        <v>68</v>
      </c>
      <c r="B29" s="81" t="s">
        <v>55</v>
      </c>
      <c r="C29" s="81" t="s">
        <v>54</v>
      </c>
      <c r="D29" s="81" t="s">
        <v>54</v>
      </c>
      <c r="E29" s="81" t="s">
        <v>55</v>
      </c>
      <c r="F29" s="81" t="s">
        <v>55</v>
      </c>
      <c r="G29" s="81" t="s">
        <v>55</v>
      </c>
      <c r="H29" s="81" t="s">
        <v>55</v>
      </c>
      <c r="I29" s="81" t="s">
        <v>54</v>
      </c>
      <c r="J29" s="81" t="s">
        <v>55</v>
      </c>
      <c r="K29" s="81" t="s">
        <v>55</v>
      </c>
      <c r="L29" s="81" t="s">
        <v>55</v>
      </c>
      <c r="M29" s="81" t="s">
        <v>55</v>
      </c>
      <c r="N29" s="81" t="s">
        <v>54</v>
      </c>
      <c r="O29" s="81" t="s">
        <v>55</v>
      </c>
      <c r="P29" s="82" t="s">
        <v>54</v>
      </c>
      <c r="Q29" s="82" t="s">
        <v>55</v>
      </c>
      <c r="R29" s="82" t="s">
        <v>55</v>
      </c>
      <c r="S29" s="82" t="s">
        <v>55</v>
      </c>
      <c r="T29" s="80"/>
      <c r="U29" s="80"/>
      <c r="V29" s="80"/>
      <c r="W29" s="80"/>
      <c r="X29" s="80"/>
      <c r="Y29" s="80"/>
      <c r="Z29" s="80"/>
    </row>
    <row r="30" ht="12.75" customHeight="1">
      <c r="A30" s="86" t="s">
        <v>70</v>
      </c>
      <c r="B30" s="81" t="s">
        <v>55</v>
      </c>
      <c r="C30" s="81" t="s">
        <v>54</v>
      </c>
      <c r="D30" s="81" t="s">
        <v>55</v>
      </c>
      <c r="E30" s="81" t="s">
        <v>55</v>
      </c>
      <c r="F30" s="81" t="s">
        <v>55</v>
      </c>
      <c r="G30" s="81" t="s">
        <v>55</v>
      </c>
      <c r="H30" s="81" t="s">
        <v>55</v>
      </c>
      <c r="I30" s="81" t="s">
        <v>54</v>
      </c>
      <c r="J30" s="81" t="s">
        <v>55</v>
      </c>
      <c r="K30" s="81" t="s">
        <v>55</v>
      </c>
      <c r="L30" s="81" t="s">
        <v>55</v>
      </c>
      <c r="M30" s="81" t="s">
        <v>55</v>
      </c>
      <c r="N30" s="81" t="s">
        <v>55</v>
      </c>
      <c r="O30" s="81" t="s">
        <v>55</v>
      </c>
      <c r="P30" s="82" t="s">
        <v>54</v>
      </c>
      <c r="Q30" s="82" t="s">
        <v>55</v>
      </c>
      <c r="R30" s="82" t="s">
        <v>55</v>
      </c>
      <c r="S30" s="82" t="s">
        <v>55</v>
      </c>
      <c r="T30" s="80"/>
      <c r="U30" s="80"/>
      <c r="V30" s="80"/>
      <c r="W30" s="80"/>
      <c r="X30" s="80"/>
      <c r="Y30" s="80"/>
      <c r="Z30" s="80"/>
    </row>
    <row r="31" ht="14.25" customHeight="1">
      <c r="A31" s="86" t="s">
        <v>73</v>
      </c>
      <c r="B31" s="81" t="s">
        <v>55</v>
      </c>
      <c r="C31" s="81" t="s">
        <v>54</v>
      </c>
      <c r="D31" s="81" t="s">
        <v>55</v>
      </c>
      <c r="E31" s="81" t="s">
        <v>55</v>
      </c>
      <c r="F31" s="81" t="s">
        <v>55</v>
      </c>
      <c r="G31" s="81" t="s">
        <v>55</v>
      </c>
      <c r="H31" s="81" t="s">
        <v>55</v>
      </c>
      <c r="I31" s="81" t="s">
        <v>54</v>
      </c>
      <c r="J31" s="81" t="s">
        <v>55</v>
      </c>
      <c r="K31" s="81" t="s">
        <v>55</v>
      </c>
      <c r="L31" s="81" t="s">
        <v>55</v>
      </c>
      <c r="M31" s="81" t="s">
        <v>55</v>
      </c>
      <c r="N31" s="81" t="s">
        <v>55</v>
      </c>
      <c r="O31" s="81" t="s">
        <v>55</v>
      </c>
      <c r="P31" s="82" t="s">
        <v>54</v>
      </c>
      <c r="Q31" s="82" t="s">
        <v>55</v>
      </c>
      <c r="R31" s="82" t="s">
        <v>55</v>
      </c>
      <c r="S31" s="82" t="s">
        <v>55</v>
      </c>
      <c r="T31" s="80"/>
      <c r="U31" s="80"/>
      <c r="V31" s="80"/>
      <c r="W31" s="80"/>
      <c r="X31" s="80"/>
      <c r="Y31" s="80"/>
      <c r="Z31" s="80"/>
    </row>
    <row r="32" ht="14.25" customHeight="1">
      <c r="A32" s="86" t="s">
        <v>76</v>
      </c>
      <c r="B32" s="81" t="s">
        <v>55</v>
      </c>
      <c r="C32" s="81" t="s">
        <v>54</v>
      </c>
      <c r="D32" s="81" t="s">
        <v>55</v>
      </c>
      <c r="E32" s="81" t="s">
        <v>55</v>
      </c>
      <c r="F32" s="81" t="s">
        <v>55</v>
      </c>
      <c r="G32" s="81" t="s">
        <v>55</v>
      </c>
      <c r="H32" s="81" t="s">
        <v>55</v>
      </c>
      <c r="I32" s="81" t="s">
        <v>54</v>
      </c>
      <c r="J32" s="81" t="s">
        <v>55</v>
      </c>
      <c r="K32" s="81" t="s">
        <v>55</v>
      </c>
      <c r="L32" s="81" t="s">
        <v>55</v>
      </c>
      <c r="M32" s="81" t="s">
        <v>55</v>
      </c>
      <c r="N32" s="81" t="s">
        <v>55</v>
      </c>
      <c r="O32" s="81" t="s">
        <v>55</v>
      </c>
      <c r="P32" s="82" t="s">
        <v>54</v>
      </c>
      <c r="Q32" s="82" t="s">
        <v>55</v>
      </c>
      <c r="R32" s="82" t="s">
        <v>55</v>
      </c>
      <c r="S32" s="82" t="s">
        <v>55</v>
      </c>
      <c r="T32" s="80"/>
      <c r="U32" s="80"/>
      <c r="V32" s="80"/>
      <c r="W32" s="80"/>
      <c r="X32" s="80"/>
      <c r="Y32" s="80"/>
      <c r="Z32" s="80"/>
    </row>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B2:Z32">
      <formula1>'Tablas AR'!$A$18:$A$19</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tabColor rgb="FF4F6128"/>
    <pageSetUpPr/>
  </sheetPr>
  <sheetViews>
    <sheetView workbookViewId="0"/>
  </sheetViews>
  <sheetFormatPr customHeight="1" defaultColWidth="14.43" defaultRowHeight="15.0"/>
  <cols>
    <col customWidth="1" min="1" max="1" width="0.57"/>
    <col customWidth="1" min="2" max="2" width="66.86"/>
    <col customWidth="1" min="3" max="3" width="65.86"/>
    <col customWidth="1" min="4" max="4" width="18.14"/>
    <col customWidth="1" hidden="1" min="5" max="5" width="18.14"/>
    <col customWidth="1" min="6" max="6" width="17.0"/>
    <col customWidth="1" hidden="1" min="7" max="7" width="17.71"/>
    <col customWidth="1" min="8" max="8" width="16.29"/>
    <col customWidth="1" min="9" max="11" width="10.71"/>
  </cols>
  <sheetData>
    <row r="1" ht="14.25" customHeight="1">
      <c r="B1" s="87" t="s">
        <v>0</v>
      </c>
      <c r="C1" s="43"/>
      <c r="D1" s="43"/>
      <c r="E1" s="43"/>
      <c r="F1" s="43"/>
      <c r="G1" s="43"/>
      <c r="H1" s="44"/>
    </row>
    <row r="2" ht="14.25" customHeight="1">
      <c r="B2" s="29" t="s">
        <v>83</v>
      </c>
      <c r="C2" s="29" t="s">
        <v>125</v>
      </c>
      <c r="D2" s="29" t="s">
        <v>126</v>
      </c>
      <c r="E2" s="29"/>
      <c r="F2" s="29" t="s">
        <v>127</v>
      </c>
      <c r="G2" s="29"/>
      <c r="H2" s="29" t="s">
        <v>128</v>
      </c>
    </row>
    <row r="3" ht="14.25" customHeight="1">
      <c r="B3" s="88" t="s">
        <v>89</v>
      </c>
      <c r="C3" s="88" t="s">
        <v>57</v>
      </c>
      <c r="D3" s="81" t="s">
        <v>37</v>
      </c>
      <c r="E3" s="89">
        <f>IF(D3='Tablas AR'!$B$4,1,IF('Análisis de Riesgos'!D3='Tablas AR'!$B$5,2,IF('Análisis de Riesgos'!D3='Tablas AR'!$B$6,3,"")))</f>
        <v>1</v>
      </c>
      <c r="F3" s="81" t="s">
        <v>39</v>
      </c>
      <c r="G3" s="89">
        <f>IF(F3='Tablas AR'!$B$10,1,IF('Análisis de Riesgos'!F3='Tablas AR'!$B$11,2,IF('Análisis de Riesgos'!F3='Tablas AR'!$B$12,3,"")))</f>
        <v>2</v>
      </c>
      <c r="H3" s="89">
        <f t="shared" ref="H3:H150" si="1"> IFERROR(E3*G3,"")</f>
        <v>2</v>
      </c>
    </row>
    <row r="4" ht="14.25" customHeight="1">
      <c r="B4" s="88" t="s">
        <v>89</v>
      </c>
      <c r="C4" s="88" t="s">
        <v>59</v>
      </c>
      <c r="D4" s="81" t="s">
        <v>37</v>
      </c>
      <c r="E4" s="89">
        <f>IF(D4='Tablas AR'!$B$4,1,IF('Análisis de Riesgos'!D4='Tablas AR'!$B$5,2,IF('Análisis de Riesgos'!D4='Tablas AR'!$B$6,3,"")))</f>
        <v>1</v>
      </c>
      <c r="F4" s="81" t="s">
        <v>39</v>
      </c>
      <c r="G4" s="89">
        <f>IF(F4='Tablas AR'!$B$10,1,IF('Análisis de Riesgos'!F4='Tablas AR'!$B$11,2,IF('Análisis de Riesgos'!F4='Tablas AR'!$B$12,3,"")))</f>
        <v>2</v>
      </c>
      <c r="H4" s="89">
        <f t="shared" si="1"/>
        <v>2</v>
      </c>
    </row>
    <row r="5" ht="14.25" customHeight="1">
      <c r="B5" s="88" t="s">
        <v>89</v>
      </c>
      <c r="C5" s="88" t="s">
        <v>25</v>
      </c>
      <c r="D5" s="81" t="s">
        <v>39</v>
      </c>
      <c r="E5" s="89">
        <f>IF(D5='Tablas AR'!$B$4,1,IF('Análisis de Riesgos'!D5='Tablas AR'!$B$5,2,IF('Análisis de Riesgos'!D5='Tablas AR'!$B$6,3,"")))</f>
        <v>2</v>
      </c>
      <c r="F5" s="81" t="s">
        <v>39</v>
      </c>
      <c r="G5" s="89">
        <f>IF(F5='Tablas AR'!$B$10,1,IF('Análisis de Riesgos'!F5='Tablas AR'!$B$11,2,IF('Análisis de Riesgos'!F5='Tablas AR'!$B$12,3,"")))</f>
        <v>2</v>
      </c>
      <c r="H5" s="89">
        <f t="shared" si="1"/>
        <v>4</v>
      </c>
    </row>
    <row r="6" ht="14.25" customHeight="1">
      <c r="B6" s="88" t="s">
        <v>89</v>
      </c>
      <c r="C6" s="88" t="s">
        <v>67</v>
      </c>
      <c r="D6" s="81" t="s">
        <v>39</v>
      </c>
      <c r="E6" s="89">
        <f>IF(D6='Tablas AR'!$B$4,1,IF('Análisis de Riesgos'!D6='Tablas AR'!$B$5,2,IF('Análisis de Riesgos'!D6='Tablas AR'!$B$6,3,"")))</f>
        <v>2</v>
      </c>
      <c r="F6" s="81" t="s">
        <v>39</v>
      </c>
      <c r="G6" s="89">
        <f>IF(F6='Tablas AR'!$B$10,1,IF('Análisis de Riesgos'!F6='Tablas AR'!$B$11,2,IF('Análisis de Riesgos'!F6='Tablas AR'!$B$12,3,"")))</f>
        <v>2</v>
      </c>
      <c r="H6" s="89">
        <f t="shared" si="1"/>
        <v>4</v>
      </c>
    </row>
    <row r="7" ht="14.25" customHeight="1">
      <c r="B7" s="88" t="s">
        <v>89</v>
      </c>
      <c r="C7" s="88" t="s">
        <v>69</v>
      </c>
      <c r="D7" s="81" t="s">
        <v>37</v>
      </c>
      <c r="E7" s="89">
        <f>IF(D7='Tablas AR'!$B$4,1,IF('Análisis de Riesgos'!D7='Tablas AR'!$B$5,2,IF('Análisis de Riesgos'!D7='Tablas AR'!$B$6,3,"")))</f>
        <v>1</v>
      </c>
      <c r="F7" s="81" t="s">
        <v>39</v>
      </c>
      <c r="G7" s="89">
        <f>IF(F7='Tablas AR'!$B$10,1,IF('Análisis de Riesgos'!F7='Tablas AR'!$B$11,2,IF('Análisis de Riesgos'!F7='Tablas AR'!$B$12,3,"")))</f>
        <v>2</v>
      </c>
      <c r="H7" s="89">
        <f t="shared" si="1"/>
        <v>2</v>
      </c>
    </row>
    <row r="8" ht="14.25" customHeight="1">
      <c r="B8" s="88" t="s">
        <v>89</v>
      </c>
      <c r="C8" s="88" t="s">
        <v>71</v>
      </c>
      <c r="D8" s="81" t="s">
        <v>41</v>
      </c>
      <c r="E8" s="89">
        <f>IF(D8='Tablas AR'!$B$4,1,IF('Análisis de Riesgos'!D8='Tablas AR'!$B$5,2,IF('Análisis de Riesgos'!D8='Tablas AR'!$B$6,3,"")))</f>
        <v>3</v>
      </c>
      <c r="F8" s="81" t="s">
        <v>39</v>
      </c>
      <c r="G8" s="89">
        <f>IF(F8='Tablas AR'!$B$10,1,IF('Análisis de Riesgos'!F8='Tablas AR'!$B$11,2,IF('Análisis de Riesgos'!F8='Tablas AR'!$B$12,3,"")))</f>
        <v>2</v>
      </c>
      <c r="H8" s="89">
        <f t="shared" si="1"/>
        <v>6</v>
      </c>
    </row>
    <row r="9" ht="14.25" customHeight="1">
      <c r="B9" s="88" t="s">
        <v>89</v>
      </c>
      <c r="C9" s="88" t="s">
        <v>77</v>
      </c>
      <c r="D9" s="81" t="s">
        <v>37</v>
      </c>
      <c r="E9" s="89">
        <f>IF(D9='Tablas AR'!$B$4,1,IF('Análisis de Riesgos'!D9='Tablas AR'!$B$5,2,IF('Análisis de Riesgos'!D9='Tablas AR'!$B$6,3,"")))</f>
        <v>1</v>
      </c>
      <c r="F9" s="81" t="s">
        <v>39</v>
      </c>
      <c r="G9" s="89">
        <f>IF(F9='Tablas AR'!$B$10,1,IF('Análisis de Riesgos'!F9='Tablas AR'!$B$11,2,IF('Análisis de Riesgos'!F9='Tablas AR'!$B$12,3,"")))</f>
        <v>2</v>
      </c>
      <c r="H9" s="89">
        <f t="shared" si="1"/>
        <v>2</v>
      </c>
    </row>
    <row r="10" ht="14.25" customHeight="1">
      <c r="B10" s="88" t="s">
        <v>89</v>
      </c>
      <c r="C10" s="88" t="s">
        <v>63</v>
      </c>
      <c r="D10" s="81" t="s">
        <v>41</v>
      </c>
      <c r="E10" s="89">
        <f>IF(D10='Tablas AR'!$B$4,1,IF('Análisis de Riesgos'!D10='Tablas AR'!$B$5,2,IF('Análisis de Riesgos'!D10='Tablas AR'!$B$6,3,"")))</f>
        <v>3</v>
      </c>
      <c r="F10" s="81" t="s">
        <v>41</v>
      </c>
      <c r="G10" s="89">
        <f>IF(F10='Tablas AR'!$B$10,1,IF('Análisis de Riesgos'!F10='Tablas AR'!$B$11,2,IF('Análisis de Riesgos'!F10='Tablas AR'!$B$12,3,"")))</f>
        <v>3</v>
      </c>
      <c r="H10" s="89">
        <f t="shared" si="1"/>
        <v>9</v>
      </c>
    </row>
    <row r="11" ht="14.25" customHeight="1">
      <c r="B11" s="88" t="s">
        <v>89</v>
      </c>
      <c r="C11" s="88" t="s">
        <v>75</v>
      </c>
      <c r="D11" s="81" t="s">
        <v>37</v>
      </c>
      <c r="E11" s="89">
        <f>IF(D11='Tablas AR'!$B$4,1,IF('Análisis de Riesgos'!D11='Tablas AR'!$B$5,2,IF('Análisis de Riesgos'!D11='Tablas AR'!$B$6,3,"")))</f>
        <v>1</v>
      </c>
      <c r="F11" s="81" t="s">
        <v>39</v>
      </c>
      <c r="G11" s="89">
        <f>IF(F11='Tablas AR'!$B$10,1,IF('Análisis de Riesgos'!F11='Tablas AR'!$B$11,2,IF('Análisis de Riesgos'!F11='Tablas AR'!$B$12,3,"")))</f>
        <v>2</v>
      </c>
      <c r="H11" s="89">
        <f t="shared" si="1"/>
        <v>2</v>
      </c>
    </row>
    <row r="12" ht="14.25" customHeight="1">
      <c r="B12" s="88" t="s">
        <v>89</v>
      </c>
      <c r="C12" s="88" t="s">
        <v>78</v>
      </c>
      <c r="D12" s="81" t="s">
        <v>37</v>
      </c>
      <c r="E12" s="89">
        <f>IF(D12='Tablas AR'!$B$4,1,IF('Análisis de Riesgos'!D12='Tablas AR'!$B$5,2,IF('Análisis de Riesgos'!D12='Tablas AR'!$B$6,3,"")))</f>
        <v>1</v>
      </c>
      <c r="F12" s="81" t="s">
        <v>39</v>
      </c>
      <c r="G12" s="89">
        <f>IF(F12='Tablas AR'!$B$10,1,IF('Análisis de Riesgos'!F12='Tablas AR'!$B$11,2,IF('Análisis de Riesgos'!F12='Tablas AR'!$B$12,3,"")))</f>
        <v>2</v>
      </c>
      <c r="H12" s="89">
        <f t="shared" si="1"/>
        <v>2</v>
      </c>
    </row>
    <row r="13" ht="14.25" customHeight="1">
      <c r="B13" s="88" t="s">
        <v>89</v>
      </c>
      <c r="C13" s="88" t="s">
        <v>79</v>
      </c>
      <c r="D13" s="81" t="s">
        <v>37</v>
      </c>
      <c r="E13" s="89">
        <f>IF(D13='Tablas AR'!$B$4,1,IF('Análisis de Riesgos'!D13='Tablas AR'!$B$5,2,IF('Análisis de Riesgos'!D13='Tablas AR'!$B$6,3,"")))</f>
        <v>1</v>
      </c>
      <c r="F13" s="81" t="s">
        <v>37</v>
      </c>
      <c r="G13" s="89">
        <f>IF(F13='Tablas AR'!$B$10,1,IF('Análisis de Riesgos'!F13='Tablas AR'!$B$11,2,IF('Análisis de Riesgos'!F13='Tablas AR'!$B$12,3,"")))</f>
        <v>1</v>
      </c>
      <c r="H13" s="89">
        <f t="shared" si="1"/>
        <v>1</v>
      </c>
    </row>
    <row r="14" ht="14.25" customHeight="1">
      <c r="B14" s="88" t="s">
        <v>89</v>
      </c>
      <c r="C14" s="88" t="s">
        <v>80</v>
      </c>
      <c r="D14" s="81" t="s">
        <v>37</v>
      </c>
      <c r="E14" s="89">
        <f>IF(D14='Tablas AR'!$B$4,1,IF('Análisis de Riesgos'!D14='Tablas AR'!$B$5,2,IF('Análisis de Riesgos'!D14='Tablas AR'!$B$6,3,"")))</f>
        <v>1</v>
      </c>
      <c r="F14" s="81" t="s">
        <v>37</v>
      </c>
      <c r="G14" s="89">
        <f>IF(F14='Tablas AR'!$B$10,1,IF('Análisis de Riesgos'!F14='Tablas AR'!$B$11,2,IF('Análisis de Riesgos'!F14='Tablas AR'!$B$12,3,"")))</f>
        <v>1</v>
      </c>
      <c r="H14" s="89">
        <f t="shared" si="1"/>
        <v>1</v>
      </c>
    </row>
    <row r="15" ht="14.25" customHeight="1">
      <c r="B15" s="88" t="s">
        <v>89</v>
      </c>
      <c r="C15" s="88" t="s">
        <v>81</v>
      </c>
      <c r="D15" s="81" t="s">
        <v>41</v>
      </c>
      <c r="E15" s="89">
        <f>IF(D15='Tablas AR'!$B$4,1,IF('Análisis de Riesgos'!D15='Tablas AR'!$B$5,2,IF('Análisis de Riesgos'!D15='Tablas AR'!$B$6,3,"")))</f>
        <v>3</v>
      </c>
      <c r="F15" s="81" t="s">
        <v>37</v>
      </c>
      <c r="G15" s="89">
        <f>IF(F15='Tablas AR'!$B$10,1,IF('Análisis de Riesgos'!F15='Tablas AR'!$B$11,2,IF('Análisis de Riesgos'!F15='Tablas AR'!$B$12,3,"")))</f>
        <v>1</v>
      </c>
      <c r="H15" s="89">
        <f t="shared" si="1"/>
        <v>3</v>
      </c>
    </row>
    <row r="16" ht="14.25" customHeight="1">
      <c r="B16" s="88" t="s">
        <v>89</v>
      </c>
      <c r="C16" s="88" t="s">
        <v>58</v>
      </c>
      <c r="D16" s="81" t="s">
        <v>37</v>
      </c>
      <c r="E16" s="89">
        <f>IF(D16='Tablas AR'!$B$4,1,IF('Análisis de Riesgos'!D16='Tablas AR'!$B$5,2,IF('Análisis de Riesgos'!D16='Tablas AR'!$B$6,3,"")))</f>
        <v>1</v>
      </c>
      <c r="F16" s="81" t="s">
        <v>37</v>
      </c>
      <c r="G16" s="89">
        <f>IF(F16='Tablas AR'!$B$10,1,IF('Análisis de Riesgos'!F16='Tablas AR'!$B$11,2,IF('Análisis de Riesgos'!F16='Tablas AR'!$B$12,3,"")))</f>
        <v>1</v>
      </c>
      <c r="H16" s="89">
        <f t="shared" si="1"/>
        <v>1</v>
      </c>
    </row>
    <row r="17" ht="14.25" customHeight="1">
      <c r="B17" s="88" t="s">
        <v>89</v>
      </c>
      <c r="C17" s="88" t="s">
        <v>61</v>
      </c>
      <c r="D17" s="81" t="s">
        <v>37</v>
      </c>
      <c r="E17" s="89">
        <f>IF(D17='Tablas AR'!$B$4,1,IF('Análisis de Riesgos'!D17='Tablas AR'!$B$5,2,IF('Análisis de Riesgos'!D17='Tablas AR'!$B$6,3,"")))</f>
        <v>1</v>
      </c>
      <c r="F17" s="81" t="s">
        <v>37</v>
      </c>
      <c r="G17" s="89">
        <f>IF(F17='Tablas AR'!$B$10,1,IF('Análisis de Riesgos'!F17='Tablas AR'!$B$11,2,IF('Análisis de Riesgos'!F17='Tablas AR'!$B$12,3,"")))</f>
        <v>1</v>
      </c>
      <c r="H17" s="89">
        <f t="shared" si="1"/>
        <v>1</v>
      </c>
    </row>
    <row r="18" ht="14.25" customHeight="1">
      <c r="B18" s="88" t="s">
        <v>89</v>
      </c>
      <c r="C18" s="88" t="s">
        <v>64</v>
      </c>
      <c r="D18" s="81" t="s">
        <v>37</v>
      </c>
      <c r="E18" s="89">
        <f>IF(D18='Tablas AR'!$B$4,1,IF('Análisis de Riesgos'!D18='Tablas AR'!$B$5,2,IF('Análisis de Riesgos'!D18='Tablas AR'!$B$6,3,"")))</f>
        <v>1</v>
      </c>
      <c r="F18" s="81" t="s">
        <v>37</v>
      </c>
      <c r="G18" s="89">
        <f>IF(F18='Tablas AR'!$B$10,1,IF('Análisis de Riesgos'!F18='Tablas AR'!$B$11,2,IF('Análisis de Riesgos'!F18='Tablas AR'!$B$12,3,"")))</f>
        <v>1</v>
      </c>
      <c r="H18" s="89">
        <f t="shared" si="1"/>
        <v>1</v>
      </c>
    </row>
    <row r="19" ht="14.25" customHeight="1">
      <c r="B19" s="88" t="s">
        <v>89</v>
      </c>
      <c r="C19" s="88" t="s">
        <v>29</v>
      </c>
      <c r="D19" s="81" t="s">
        <v>41</v>
      </c>
      <c r="E19" s="89">
        <f>IF(D19='Tablas AR'!$B$4,1,IF('Análisis de Riesgos'!D19='Tablas AR'!$B$5,2,IF('Análisis de Riesgos'!D19='Tablas AR'!$B$6,3,"")))</f>
        <v>3</v>
      </c>
      <c r="F19" s="81" t="s">
        <v>37</v>
      </c>
      <c r="G19" s="89">
        <f>IF(F19='Tablas AR'!$B$10,1,IF('Análisis de Riesgos'!F19='Tablas AR'!$B$11,2,IF('Análisis de Riesgos'!F19='Tablas AR'!$B$12,3,"")))</f>
        <v>1</v>
      </c>
      <c r="H19" s="89">
        <f t="shared" si="1"/>
        <v>3</v>
      </c>
    </row>
    <row r="20" ht="14.25" customHeight="1">
      <c r="B20" s="88" t="s">
        <v>89</v>
      </c>
      <c r="C20" s="88" t="s">
        <v>68</v>
      </c>
      <c r="D20" s="81" t="s">
        <v>41</v>
      </c>
      <c r="E20" s="89">
        <f>IF(D20='Tablas AR'!$B$4,1,IF('Análisis de Riesgos'!D20='Tablas AR'!$B$5,2,IF('Análisis de Riesgos'!D20='Tablas AR'!$B$6,3,"")))</f>
        <v>3</v>
      </c>
      <c r="F20" s="81" t="s">
        <v>39</v>
      </c>
      <c r="G20" s="89">
        <f>IF(F20='Tablas AR'!$B$10,1,IF('Análisis de Riesgos'!F20='Tablas AR'!$B$11,2,IF('Análisis de Riesgos'!F20='Tablas AR'!$B$12,3,"")))</f>
        <v>2</v>
      </c>
      <c r="H20" s="89">
        <f t="shared" si="1"/>
        <v>6</v>
      </c>
    </row>
    <row r="21" ht="14.25" customHeight="1">
      <c r="B21" s="88" t="s">
        <v>89</v>
      </c>
      <c r="C21" s="88" t="s">
        <v>70</v>
      </c>
      <c r="D21" s="81" t="s">
        <v>41</v>
      </c>
      <c r="E21" s="89">
        <f>IF(D21='Tablas AR'!$B$4,1,IF('Análisis de Riesgos'!D21='Tablas AR'!$B$5,2,IF('Análisis de Riesgos'!D21='Tablas AR'!$B$6,3,"")))</f>
        <v>3</v>
      </c>
      <c r="F21" s="81" t="s">
        <v>39</v>
      </c>
      <c r="G21" s="89">
        <f>IF(F21='Tablas AR'!$B$10,1,IF('Análisis de Riesgos'!F21='Tablas AR'!$B$11,2,IF('Análisis de Riesgos'!F21='Tablas AR'!$B$12,3,"")))</f>
        <v>2</v>
      </c>
      <c r="H21" s="89">
        <f t="shared" si="1"/>
        <v>6</v>
      </c>
    </row>
    <row r="22" ht="14.25" customHeight="1">
      <c r="B22" s="88" t="s">
        <v>89</v>
      </c>
      <c r="C22" s="88" t="s">
        <v>73</v>
      </c>
      <c r="D22" s="81" t="s">
        <v>41</v>
      </c>
      <c r="E22" s="89">
        <f>IF(D22='Tablas AR'!$B$4,1,IF('Análisis de Riesgos'!D22='Tablas AR'!$B$5,2,IF('Análisis de Riesgos'!D22='Tablas AR'!$B$6,3,"")))</f>
        <v>3</v>
      </c>
      <c r="F22" s="81" t="s">
        <v>41</v>
      </c>
      <c r="G22" s="89">
        <f>IF(F22='Tablas AR'!$B$10,1,IF('Análisis de Riesgos'!F22='Tablas AR'!$B$11,2,IF('Análisis de Riesgos'!F22='Tablas AR'!$B$12,3,"")))</f>
        <v>3</v>
      </c>
      <c r="H22" s="89">
        <f t="shared" si="1"/>
        <v>9</v>
      </c>
    </row>
    <row r="23" ht="14.25" customHeight="1">
      <c r="B23" s="88" t="s">
        <v>89</v>
      </c>
      <c r="C23" s="88" t="s">
        <v>76</v>
      </c>
      <c r="D23" s="81" t="s">
        <v>41</v>
      </c>
      <c r="E23" s="89">
        <f>IF(D23='Tablas AR'!$B$4,1,IF('Análisis de Riesgos'!D23='Tablas AR'!$B$5,2,IF('Análisis de Riesgos'!D23='Tablas AR'!$B$6,3,"")))</f>
        <v>3</v>
      </c>
      <c r="F23" s="81" t="s">
        <v>39</v>
      </c>
      <c r="G23" s="89">
        <f>IF(F23='Tablas AR'!$B$10,1,IF('Análisis de Riesgos'!F23='Tablas AR'!$B$11,2,IF('Análisis de Riesgos'!F23='Tablas AR'!$B$12,3,"")))</f>
        <v>2</v>
      </c>
      <c r="H23" s="89">
        <f t="shared" si="1"/>
        <v>6</v>
      </c>
    </row>
    <row r="24" ht="14.25" customHeight="1">
      <c r="B24" s="88" t="s">
        <v>91</v>
      </c>
      <c r="C24" s="88" t="s">
        <v>57</v>
      </c>
      <c r="D24" s="81" t="s">
        <v>37</v>
      </c>
      <c r="E24" s="89">
        <f>IF(D24='Tablas AR'!$B$4,1,IF('Análisis de Riesgos'!D24='Tablas AR'!$B$5,2,IF('Análisis de Riesgos'!D24='Tablas AR'!$B$6,3,"")))</f>
        <v>1</v>
      </c>
      <c r="F24" s="81" t="s">
        <v>41</v>
      </c>
      <c r="G24" s="89">
        <f>IF(F24='Tablas AR'!$B$10,1,IF('Análisis de Riesgos'!F24='Tablas AR'!$B$11,2,IF('Análisis de Riesgos'!F24='Tablas AR'!$B$12,3,"")))</f>
        <v>3</v>
      </c>
      <c r="H24" s="89">
        <f t="shared" si="1"/>
        <v>3</v>
      </c>
    </row>
    <row r="25" ht="14.25" customHeight="1">
      <c r="B25" s="88" t="s">
        <v>91</v>
      </c>
      <c r="C25" s="88" t="s">
        <v>59</v>
      </c>
      <c r="D25" s="81" t="s">
        <v>37</v>
      </c>
      <c r="E25" s="89">
        <f>IF(D25='Tablas AR'!$B$4,1,IF('Análisis de Riesgos'!D25='Tablas AR'!$B$5,2,IF('Análisis de Riesgos'!D25='Tablas AR'!$B$6,3,"")))</f>
        <v>1</v>
      </c>
      <c r="F25" s="81" t="s">
        <v>39</v>
      </c>
      <c r="G25" s="89">
        <f>IF(F25='Tablas AR'!$B$10,1,IF('Análisis de Riesgos'!F25='Tablas AR'!$B$11,2,IF('Análisis de Riesgos'!F25='Tablas AR'!$B$12,3,"")))</f>
        <v>2</v>
      </c>
      <c r="H25" s="89">
        <f t="shared" si="1"/>
        <v>2</v>
      </c>
    </row>
    <row r="26" ht="14.25" customHeight="1">
      <c r="B26" s="88" t="s">
        <v>91</v>
      </c>
      <c r="C26" s="88" t="s">
        <v>25</v>
      </c>
      <c r="D26" s="81" t="s">
        <v>39</v>
      </c>
      <c r="E26" s="89">
        <f>IF(D26='Tablas AR'!$B$4,1,IF('Análisis de Riesgos'!D26='Tablas AR'!$B$5,2,IF('Análisis de Riesgos'!D26='Tablas AR'!$B$6,3,"")))</f>
        <v>2</v>
      </c>
      <c r="F26" s="81" t="s">
        <v>41</v>
      </c>
      <c r="G26" s="89">
        <f>IF(F26='Tablas AR'!$B$10,1,IF('Análisis de Riesgos'!F26='Tablas AR'!$B$11,2,IF('Análisis de Riesgos'!F26='Tablas AR'!$B$12,3,"")))</f>
        <v>3</v>
      </c>
      <c r="H26" s="89">
        <f t="shared" si="1"/>
        <v>6</v>
      </c>
    </row>
    <row r="27" ht="14.25" customHeight="1">
      <c r="B27" s="88" t="s">
        <v>91</v>
      </c>
      <c r="C27" s="88" t="s">
        <v>67</v>
      </c>
      <c r="D27" s="81" t="s">
        <v>39</v>
      </c>
      <c r="E27" s="89">
        <f>IF(D27='Tablas AR'!$B$4,1,IF('Análisis de Riesgos'!D27='Tablas AR'!$B$5,2,IF('Análisis de Riesgos'!D27='Tablas AR'!$B$6,3,"")))</f>
        <v>2</v>
      </c>
      <c r="F27" s="81" t="s">
        <v>39</v>
      </c>
      <c r="G27" s="89">
        <f>IF(F27='Tablas AR'!$B$10,1,IF('Análisis de Riesgos'!F27='Tablas AR'!$B$11,2,IF('Análisis de Riesgos'!F27='Tablas AR'!$B$12,3,"")))</f>
        <v>2</v>
      </c>
      <c r="H27" s="89">
        <f t="shared" si="1"/>
        <v>4</v>
      </c>
    </row>
    <row r="28" ht="14.25" customHeight="1">
      <c r="B28" s="88" t="s">
        <v>91</v>
      </c>
      <c r="C28" s="88" t="s">
        <v>69</v>
      </c>
      <c r="D28" s="81" t="s">
        <v>39</v>
      </c>
      <c r="E28" s="89">
        <f>IF(D28='Tablas AR'!$B$4,1,IF('Análisis de Riesgos'!D28='Tablas AR'!$B$5,2,IF('Análisis de Riesgos'!D28='Tablas AR'!$B$6,3,"")))</f>
        <v>2</v>
      </c>
      <c r="F28" s="81" t="s">
        <v>39</v>
      </c>
      <c r="G28" s="89">
        <f>IF(F28='Tablas AR'!$B$10,1,IF('Análisis de Riesgos'!F28='Tablas AR'!$B$11,2,IF('Análisis de Riesgos'!F28='Tablas AR'!$B$12,3,"")))</f>
        <v>2</v>
      </c>
      <c r="H28" s="89">
        <f t="shared" si="1"/>
        <v>4</v>
      </c>
    </row>
    <row r="29" ht="14.25" customHeight="1">
      <c r="B29" s="88" t="s">
        <v>91</v>
      </c>
      <c r="C29" s="88" t="s">
        <v>71</v>
      </c>
      <c r="D29" s="81" t="s">
        <v>39</v>
      </c>
      <c r="E29" s="89">
        <f>IF(D29='Tablas AR'!$B$4,1,IF('Análisis de Riesgos'!D29='Tablas AR'!$B$5,2,IF('Análisis de Riesgos'!D29='Tablas AR'!$B$6,3,"")))</f>
        <v>2</v>
      </c>
      <c r="F29" s="81" t="s">
        <v>39</v>
      </c>
      <c r="G29" s="89">
        <f>IF(F29='Tablas AR'!$B$10,1,IF('Análisis de Riesgos'!F29='Tablas AR'!$B$11,2,IF('Análisis de Riesgos'!F29='Tablas AR'!$B$12,3,"")))</f>
        <v>2</v>
      </c>
      <c r="H29" s="89">
        <f t="shared" si="1"/>
        <v>4</v>
      </c>
    </row>
    <row r="30" ht="14.25" customHeight="1">
      <c r="B30" s="88" t="s">
        <v>91</v>
      </c>
      <c r="C30" s="88" t="s">
        <v>74</v>
      </c>
      <c r="D30" s="81" t="s">
        <v>37</v>
      </c>
      <c r="E30" s="89">
        <f>IF(D30='Tablas AR'!$B$4,1,IF('Análisis de Riesgos'!D30='Tablas AR'!$B$5,2,IF('Análisis de Riesgos'!D30='Tablas AR'!$B$6,3,"")))</f>
        <v>1</v>
      </c>
      <c r="F30" s="81" t="s">
        <v>41</v>
      </c>
      <c r="G30" s="89">
        <f>IF(F30='Tablas AR'!$B$10,1,IF('Análisis de Riesgos'!F30='Tablas AR'!$B$11,2,IF('Análisis de Riesgos'!F30='Tablas AR'!$B$12,3,"")))</f>
        <v>3</v>
      </c>
      <c r="H30" s="89">
        <f t="shared" si="1"/>
        <v>3</v>
      </c>
    </row>
    <row r="31" ht="14.25" customHeight="1">
      <c r="B31" s="88" t="s">
        <v>91</v>
      </c>
      <c r="C31" s="88" t="s">
        <v>77</v>
      </c>
      <c r="D31" s="81" t="s">
        <v>41</v>
      </c>
      <c r="E31" s="89">
        <f>IF(D31='Tablas AR'!$B$4,1,IF('Análisis de Riesgos'!D31='Tablas AR'!$B$5,2,IF('Análisis de Riesgos'!D31='Tablas AR'!$B$6,3,"")))</f>
        <v>3</v>
      </c>
      <c r="F31" s="81" t="s">
        <v>37</v>
      </c>
      <c r="G31" s="89">
        <f>IF(F31='Tablas AR'!$B$10,1,IF('Análisis de Riesgos'!F31='Tablas AR'!$B$11,2,IF('Análisis de Riesgos'!F31='Tablas AR'!$B$12,3,"")))</f>
        <v>1</v>
      </c>
      <c r="H31" s="89">
        <f t="shared" si="1"/>
        <v>3</v>
      </c>
    </row>
    <row r="32" ht="14.25" customHeight="1">
      <c r="B32" s="88" t="s">
        <v>91</v>
      </c>
      <c r="C32" s="88" t="s">
        <v>31</v>
      </c>
      <c r="D32" s="81" t="s">
        <v>41</v>
      </c>
      <c r="E32" s="89">
        <f>IF(D32='Tablas AR'!$B$4,1,IF('Análisis de Riesgos'!D32='Tablas AR'!$B$5,2,IF('Análisis de Riesgos'!D32='Tablas AR'!$B$6,3,"")))</f>
        <v>3</v>
      </c>
      <c r="F32" s="81" t="s">
        <v>41</v>
      </c>
      <c r="G32" s="89">
        <f>IF(F32='Tablas AR'!$B$10,1,IF('Análisis de Riesgos'!F32='Tablas AR'!$B$11,2,IF('Análisis de Riesgos'!F32='Tablas AR'!$B$12,3,"")))</f>
        <v>3</v>
      </c>
      <c r="H32" s="89">
        <f t="shared" si="1"/>
        <v>9</v>
      </c>
    </row>
    <row r="33" ht="14.25" customHeight="1">
      <c r="B33" s="88" t="s">
        <v>91</v>
      </c>
      <c r="C33" s="88" t="s">
        <v>63</v>
      </c>
      <c r="D33" s="81" t="s">
        <v>41</v>
      </c>
      <c r="E33" s="89">
        <f>IF(D33='Tablas AR'!$B$4,1,IF('Análisis de Riesgos'!D33='Tablas AR'!$B$5,2,IF('Análisis de Riesgos'!D33='Tablas AR'!$B$6,3,"")))</f>
        <v>3</v>
      </c>
      <c r="F33" s="81" t="s">
        <v>41</v>
      </c>
      <c r="G33" s="89">
        <f>IF(F33='Tablas AR'!$B$10,1,IF('Análisis de Riesgos'!F33='Tablas AR'!$B$11,2,IF('Análisis de Riesgos'!F33='Tablas AR'!$B$12,3,"")))</f>
        <v>3</v>
      </c>
      <c r="H33" s="89">
        <f t="shared" si="1"/>
        <v>9</v>
      </c>
    </row>
    <row r="34" ht="14.25" customHeight="1">
      <c r="B34" s="88" t="s">
        <v>91</v>
      </c>
      <c r="C34" s="88" t="s">
        <v>65</v>
      </c>
      <c r="D34" s="81" t="s">
        <v>41</v>
      </c>
      <c r="E34" s="89">
        <f>IF(D34='Tablas AR'!$B$4,1,IF('Análisis de Riesgos'!D34='Tablas AR'!$B$5,2,IF('Análisis de Riesgos'!D34='Tablas AR'!$B$6,3,"")))</f>
        <v>3</v>
      </c>
      <c r="F34" s="81" t="s">
        <v>41</v>
      </c>
      <c r="G34" s="89">
        <f>IF(F34='Tablas AR'!$B$10,1,IF('Análisis de Riesgos'!F34='Tablas AR'!$B$11,2,IF('Análisis de Riesgos'!F34='Tablas AR'!$B$12,3,"")))</f>
        <v>3</v>
      </c>
      <c r="H34" s="89">
        <f t="shared" si="1"/>
        <v>9</v>
      </c>
    </row>
    <row r="35" ht="14.25" customHeight="1">
      <c r="B35" s="88" t="s">
        <v>91</v>
      </c>
      <c r="C35" s="88" t="s">
        <v>28</v>
      </c>
      <c r="D35" s="81" t="s">
        <v>39</v>
      </c>
      <c r="E35" s="89">
        <f>IF(D35='Tablas AR'!$B$4,1,IF('Análisis de Riesgos'!D35='Tablas AR'!$B$5,2,IF('Análisis de Riesgos'!D35='Tablas AR'!$B$6,3,"")))</f>
        <v>2</v>
      </c>
      <c r="F35" s="81" t="s">
        <v>41</v>
      </c>
      <c r="G35" s="89">
        <f>IF(F35='Tablas AR'!$B$10,1,IF('Análisis de Riesgos'!F35='Tablas AR'!$B$11,2,IF('Análisis de Riesgos'!F35='Tablas AR'!$B$12,3,"")))</f>
        <v>3</v>
      </c>
      <c r="H35" s="89">
        <f t="shared" si="1"/>
        <v>6</v>
      </c>
    </row>
    <row r="36" ht="14.25" customHeight="1">
      <c r="B36" s="88" t="s">
        <v>91</v>
      </c>
      <c r="C36" s="88" t="s">
        <v>70</v>
      </c>
      <c r="D36" s="81" t="s">
        <v>37</v>
      </c>
      <c r="E36" s="89">
        <f>IF(D36='Tablas AR'!$B$4,1,IF('Análisis de Riesgos'!D36='Tablas AR'!$B$5,2,IF('Análisis de Riesgos'!D36='Tablas AR'!$B$6,3,"")))</f>
        <v>1</v>
      </c>
      <c r="F36" s="81" t="s">
        <v>41</v>
      </c>
      <c r="G36" s="89">
        <f>IF(F36='Tablas AR'!$B$10,1,IF('Análisis de Riesgos'!F36='Tablas AR'!$B$11,2,IF('Análisis de Riesgos'!F36='Tablas AR'!$B$12,3,"")))</f>
        <v>3</v>
      </c>
      <c r="H36" s="89">
        <f t="shared" si="1"/>
        <v>3</v>
      </c>
    </row>
    <row r="37" ht="14.25" customHeight="1">
      <c r="B37" s="88" t="s">
        <v>91</v>
      </c>
      <c r="C37" s="88" t="s">
        <v>80</v>
      </c>
      <c r="D37" s="81" t="s">
        <v>37</v>
      </c>
      <c r="E37" s="89">
        <f>IF(D37='Tablas AR'!$B$4,1,IF('Análisis de Riesgos'!D37='Tablas AR'!$B$5,2,IF('Análisis de Riesgos'!D37='Tablas AR'!$B$6,3,"")))</f>
        <v>1</v>
      </c>
      <c r="F37" s="81" t="s">
        <v>37</v>
      </c>
      <c r="G37" s="89">
        <f>IF(F37='Tablas AR'!$B$10,1,IF('Análisis de Riesgos'!F37='Tablas AR'!$B$11,2,IF('Análisis de Riesgos'!F37='Tablas AR'!$B$12,3,"")))</f>
        <v>1</v>
      </c>
      <c r="H37" s="89">
        <f t="shared" si="1"/>
        <v>1</v>
      </c>
    </row>
    <row r="38" ht="14.25" customHeight="1">
      <c r="B38" s="88" t="s">
        <v>91</v>
      </c>
      <c r="C38" s="88" t="s">
        <v>81</v>
      </c>
      <c r="D38" s="81" t="s">
        <v>41</v>
      </c>
      <c r="E38" s="89">
        <f>IF(D38='Tablas AR'!$B$4,1,IF('Análisis de Riesgos'!D38='Tablas AR'!$B$5,2,IF('Análisis de Riesgos'!D38='Tablas AR'!$B$6,3,"")))</f>
        <v>3</v>
      </c>
      <c r="F38" s="81" t="s">
        <v>41</v>
      </c>
      <c r="G38" s="89">
        <f>IF(F38='Tablas AR'!$B$10,1,IF('Análisis de Riesgos'!F38='Tablas AR'!$B$11,2,IF('Análisis de Riesgos'!F38='Tablas AR'!$B$12,3,"")))</f>
        <v>3</v>
      </c>
      <c r="H38" s="89">
        <f t="shared" si="1"/>
        <v>9</v>
      </c>
    </row>
    <row r="39" ht="14.25" customHeight="1">
      <c r="B39" s="88" t="s">
        <v>91</v>
      </c>
      <c r="C39" s="88" t="s">
        <v>64</v>
      </c>
      <c r="D39" s="81" t="s">
        <v>37</v>
      </c>
      <c r="E39" s="89">
        <f>IF(D39='Tablas AR'!$B$4,1,IF('Análisis de Riesgos'!D39='Tablas AR'!$B$5,2,IF('Análisis de Riesgos'!D39='Tablas AR'!$B$6,3,"")))</f>
        <v>1</v>
      </c>
      <c r="F39" s="81" t="s">
        <v>39</v>
      </c>
      <c r="G39" s="89">
        <f>IF(F39='Tablas AR'!$B$10,1,IF('Análisis de Riesgos'!F39='Tablas AR'!$B$11,2,IF('Análisis de Riesgos'!F39='Tablas AR'!$B$12,3,"")))</f>
        <v>2</v>
      </c>
      <c r="H39" s="89">
        <f t="shared" si="1"/>
        <v>2</v>
      </c>
    </row>
    <row r="40" ht="14.25" customHeight="1">
      <c r="B40" s="88" t="s">
        <v>91</v>
      </c>
      <c r="C40" s="88" t="s">
        <v>29</v>
      </c>
      <c r="D40" s="81" t="s">
        <v>39</v>
      </c>
      <c r="E40" s="89">
        <f>IF(D40='Tablas AR'!$B$4,1,IF('Análisis de Riesgos'!D40='Tablas AR'!$B$5,2,IF('Análisis de Riesgos'!D40='Tablas AR'!$B$6,3,"")))</f>
        <v>2</v>
      </c>
      <c r="F40" s="81" t="s">
        <v>41</v>
      </c>
      <c r="G40" s="89">
        <f>IF(F40='Tablas AR'!$B$10,1,IF('Análisis de Riesgos'!F40='Tablas AR'!$B$11,2,IF('Análisis de Riesgos'!F40='Tablas AR'!$B$12,3,"")))</f>
        <v>3</v>
      </c>
      <c r="H40" s="89">
        <f t="shared" si="1"/>
        <v>6</v>
      </c>
    </row>
    <row r="41" ht="14.25" customHeight="1">
      <c r="B41" s="88" t="s">
        <v>91</v>
      </c>
      <c r="C41" s="88" t="s">
        <v>68</v>
      </c>
      <c r="D41" s="81" t="s">
        <v>37</v>
      </c>
      <c r="E41" s="89">
        <f>IF(D41='Tablas AR'!$B$4,1,IF('Análisis de Riesgos'!D41='Tablas AR'!$B$5,2,IF('Análisis de Riesgos'!D41='Tablas AR'!$B$6,3,"")))</f>
        <v>1</v>
      </c>
      <c r="F41" s="81" t="s">
        <v>41</v>
      </c>
      <c r="G41" s="89">
        <f>IF(F41='Tablas AR'!$B$10,1,IF('Análisis de Riesgos'!F41='Tablas AR'!$B$11,2,IF('Análisis de Riesgos'!F41='Tablas AR'!$B$12,3,"")))</f>
        <v>3</v>
      </c>
      <c r="H41" s="89">
        <f t="shared" si="1"/>
        <v>3</v>
      </c>
    </row>
    <row r="42" ht="14.25" customHeight="1">
      <c r="B42" s="88" t="s">
        <v>129</v>
      </c>
      <c r="C42" s="88" t="s">
        <v>57</v>
      </c>
      <c r="D42" s="81" t="s">
        <v>37</v>
      </c>
      <c r="E42" s="89">
        <f>IF(D42='Tablas AR'!$B$4,1,IF('Análisis de Riesgos'!D42='Tablas AR'!$B$5,2,IF('Análisis de Riesgos'!D42='Tablas AR'!$B$6,3,"")))</f>
        <v>1</v>
      </c>
      <c r="F42" s="81" t="s">
        <v>41</v>
      </c>
      <c r="G42" s="89">
        <f>IF(F42='Tablas AR'!$B$10,1,IF('Análisis de Riesgos'!F42='Tablas AR'!$B$11,2,IF('Análisis de Riesgos'!F42='Tablas AR'!$B$12,3,"")))</f>
        <v>3</v>
      </c>
      <c r="H42" s="89">
        <f t="shared" si="1"/>
        <v>3</v>
      </c>
    </row>
    <row r="43" ht="14.25" customHeight="1">
      <c r="B43" s="88" t="s">
        <v>129</v>
      </c>
      <c r="C43" s="88" t="s">
        <v>59</v>
      </c>
      <c r="D43" s="81" t="s">
        <v>37</v>
      </c>
      <c r="E43" s="89">
        <f>IF(D43='Tablas AR'!$B$4,1,IF('Análisis de Riesgos'!D43='Tablas AR'!$B$5,2,IF('Análisis de Riesgos'!D43='Tablas AR'!$B$6,3,"")))</f>
        <v>1</v>
      </c>
      <c r="F43" s="81" t="s">
        <v>39</v>
      </c>
      <c r="G43" s="89">
        <f>IF(F43='Tablas AR'!$B$10,1,IF('Análisis de Riesgos'!F43='Tablas AR'!$B$11,2,IF('Análisis de Riesgos'!F43='Tablas AR'!$B$12,3,"")))</f>
        <v>2</v>
      </c>
      <c r="H43" s="89">
        <f t="shared" si="1"/>
        <v>2</v>
      </c>
    </row>
    <row r="44" ht="14.25" customHeight="1">
      <c r="B44" s="88" t="s">
        <v>129</v>
      </c>
      <c r="C44" s="88" t="s">
        <v>25</v>
      </c>
      <c r="D44" s="81" t="s">
        <v>41</v>
      </c>
      <c r="E44" s="89">
        <f>IF(D44='Tablas AR'!$B$4,1,IF('Análisis de Riesgos'!D44='Tablas AR'!$B$5,2,IF('Análisis de Riesgos'!D44='Tablas AR'!$B$6,3,"")))</f>
        <v>3</v>
      </c>
      <c r="F44" s="81" t="s">
        <v>39</v>
      </c>
      <c r="G44" s="89">
        <f>IF(F44='Tablas AR'!$B$10,1,IF('Análisis de Riesgos'!F44='Tablas AR'!$B$11,2,IF('Análisis de Riesgos'!F44='Tablas AR'!$B$12,3,"")))</f>
        <v>2</v>
      </c>
      <c r="H44" s="89">
        <f t="shared" si="1"/>
        <v>6</v>
      </c>
    </row>
    <row r="45" ht="14.25" customHeight="1">
      <c r="B45" s="88" t="s">
        <v>129</v>
      </c>
      <c r="C45" s="88" t="s">
        <v>67</v>
      </c>
      <c r="D45" s="81" t="s">
        <v>41</v>
      </c>
      <c r="E45" s="89">
        <f>IF(D45='Tablas AR'!$B$4,1,IF('Análisis de Riesgos'!D45='Tablas AR'!$B$5,2,IF('Análisis de Riesgos'!D45='Tablas AR'!$B$6,3,"")))</f>
        <v>3</v>
      </c>
      <c r="F45" s="81" t="s">
        <v>39</v>
      </c>
      <c r="G45" s="89">
        <f>IF(F45='Tablas AR'!$B$10,1,IF('Análisis de Riesgos'!F45='Tablas AR'!$B$11,2,IF('Análisis de Riesgos'!F45='Tablas AR'!$B$12,3,"")))</f>
        <v>2</v>
      </c>
      <c r="H45" s="89">
        <f t="shared" si="1"/>
        <v>6</v>
      </c>
    </row>
    <row r="46" ht="14.25" customHeight="1">
      <c r="B46" s="88" t="s">
        <v>129</v>
      </c>
      <c r="C46" s="88" t="s">
        <v>69</v>
      </c>
      <c r="D46" s="81" t="s">
        <v>39</v>
      </c>
      <c r="E46" s="89">
        <f>IF(D46='Tablas AR'!$B$4,1,IF('Análisis de Riesgos'!D46='Tablas AR'!$B$5,2,IF('Análisis de Riesgos'!D46='Tablas AR'!$B$6,3,"")))</f>
        <v>2</v>
      </c>
      <c r="F46" s="81" t="s">
        <v>41</v>
      </c>
      <c r="G46" s="89">
        <f>IF(F46='Tablas AR'!$B$10,1,IF('Análisis de Riesgos'!F46='Tablas AR'!$B$11,2,IF('Análisis de Riesgos'!F46='Tablas AR'!$B$12,3,"")))</f>
        <v>3</v>
      </c>
      <c r="H46" s="89">
        <f t="shared" si="1"/>
        <v>6</v>
      </c>
    </row>
    <row r="47" ht="14.25" customHeight="1">
      <c r="B47" s="88" t="s">
        <v>129</v>
      </c>
      <c r="C47" s="88" t="s">
        <v>71</v>
      </c>
      <c r="D47" s="81" t="s">
        <v>39</v>
      </c>
      <c r="E47" s="89">
        <f>IF(D47='Tablas AR'!$B$4,1,IF('Análisis de Riesgos'!D47='Tablas AR'!$B$5,2,IF('Análisis de Riesgos'!D47='Tablas AR'!$B$6,3,"")))</f>
        <v>2</v>
      </c>
      <c r="F47" s="81" t="s">
        <v>41</v>
      </c>
      <c r="G47" s="89">
        <f>IF(F47='Tablas AR'!$B$10,1,IF('Análisis de Riesgos'!F47='Tablas AR'!$B$11,2,IF('Análisis de Riesgos'!F47='Tablas AR'!$B$12,3,"")))</f>
        <v>3</v>
      </c>
      <c r="H47" s="89">
        <f t="shared" si="1"/>
        <v>6</v>
      </c>
    </row>
    <row r="48" ht="14.25" customHeight="1">
      <c r="B48" s="88" t="s">
        <v>129</v>
      </c>
      <c r="C48" s="88" t="s">
        <v>77</v>
      </c>
      <c r="D48" s="81" t="s">
        <v>39</v>
      </c>
      <c r="E48" s="89">
        <f>IF(D48='Tablas AR'!$B$4,1,IF('Análisis de Riesgos'!D48='Tablas AR'!$B$5,2,IF('Análisis de Riesgos'!D48='Tablas AR'!$B$6,3,"")))</f>
        <v>2</v>
      </c>
      <c r="F48" s="81" t="s">
        <v>37</v>
      </c>
      <c r="G48" s="89">
        <f>IF(F48='Tablas AR'!$B$10,1,IF('Análisis de Riesgos'!F48='Tablas AR'!$B$11,2,IF('Análisis de Riesgos'!F48='Tablas AR'!$B$12,3,"")))</f>
        <v>1</v>
      </c>
      <c r="H48" s="89">
        <f t="shared" si="1"/>
        <v>2</v>
      </c>
    </row>
    <row r="49" ht="14.25" customHeight="1">
      <c r="B49" s="88" t="s">
        <v>129</v>
      </c>
      <c r="C49" s="88" t="s">
        <v>63</v>
      </c>
      <c r="D49" s="81" t="s">
        <v>37</v>
      </c>
      <c r="E49" s="89">
        <f>IF(D49='Tablas AR'!$B$4,1,IF('Análisis de Riesgos'!D49='Tablas AR'!$B$5,2,IF('Análisis de Riesgos'!D49='Tablas AR'!$B$6,3,"")))</f>
        <v>1</v>
      </c>
      <c r="F49" s="81" t="s">
        <v>41</v>
      </c>
      <c r="G49" s="89">
        <f>IF(F49='Tablas AR'!$B$10,1,IF('Análisis de Riesgos'!F49='Tablas AR'!$B$11,2,IF('Análisis de Riesgos'!F49='Tablas AR'!$B$12,3,"")))</f>
        <v>3</v>
      </c>
      <c r="H49" s="89">
        <f t="shared" si="1"/>
        <v>3</v>
      </c>
    </row>
    <row r="50" ht="14.25" customHeight="1">
      <c r="B50" s="88" t="s">
        <v>129</v>
      </c>
      <c r="C50" s="88" t="s">
        <v>72</v>
      </c>
      <c r="D50" s="81" t="s">
        <v>39</v>
      </c>
      <c r="E50" s="89">
        <f>IF(D50='Tablas AR'!$B$4,1,IF('Análisis de Riesgos'!D50='Tablas AR'!$B$5,2,IF('Análisis de Riesgos'!D50='Tablas AR'!$B$6,3,"")))</f>
        <v>2</v>
      </c>
      <c r="F50" s="81" t="s">
        <v>41</v>
      </c>
      <c r="G50" s="89">
        <f>IF(F50='Tablas AR'!$B$10,1,IF('Análisis de Riesgos'!F50='Tablas AR'!$B$11,2,IF('Análisis de Riesgos'!F50='Tablas AR'!$B$12,3,"")))</f>
        <v>3</v>
      </c>
      <c r="H50" s="89">
        <f t="shared" si="1"/>
        <v>6</v>
      </c>
    </row>
    <row r="51" ht="14.25" customHeight="1">
      <c r="B51" s="88" t="s">
        <v>129</v>
      </c>
      <c r="C51" s="88" t="s">
        <v>75</v>
      </c>
      <c r="D51" s="81" t="s">
        <v>37</v>
      </c>
      <c r="E51" s="89">
        <f>IF(D51='Tablas AR'!$B$4,1,IF('Análisis de Riesgos'!D51='Tablas AR'!$B$5,2,IF('Análisis de Riesgos'!D51='Tablas AR'!$B$6,3,"")))</f>
        <v>1</v>
      </c>
      <c r="F51" s="81" t="s">
        <v>37</v>
      </c>
      <c r="G51" s="89">
        <f>IF(F51='Tablas AR'!$B$10,1,IF('Análisis de Riesgos'!F51='Tablas AR'!$B$11,2,IF('Análisis de Riesgos'!F51='Tablas AR'!$B$12,3,"")))</f>
        <v>1</v>
      </c>
      <c r="H51" s="89">
        <f t="shared" si="1"/>
        <v>1</v>
      </c>
    </row>
    <row r="52" ht="14.25" customHeight="1">
      <c r="B52" s="88" t="s">
        <v>129</v>
      </c>
      <c r="C52" s="88" t="s">
        <v>78</v>
      </c>
      <c r="D52" s="81" t="s">
        <v>37</v>
      </c>
      <c r="E52" s="89">
        <f>IF(D52='Tablas AR'!$B$4,1,IF('Análisis de Riesgos'!D52='Tablas AR'!$B$5,2,IF('Análisis de Riesgos'!D52='Tablas AR'!$B$6,3,"")))</f>
        <v>1</v>
      </c>
      <c r="F52" s="81" t="s">
        <v>37</v>
      </c>
      <c r="G52" s="89">
        <f>IF(F52='Tablas AR'!$B$10,1,IF('Análisis de Riesgos'!F52='Tablas AR'!$B$11,2,IF('Análisis de Riesgos'!F52='Tablas AR'!$B$12,3,"")))</f>
        <v>1</v>
      </c>
      <c r="H52" s="89">
        <f t="shared" si="1"/>
        <v>1</v>
      </c>
    </row>
    <row r="53" ht="14.25" customHeight="1">
      <c r="B53" s="88" t="s">
        <v>129</v>
      </c>
      <c r="C53" s="88" t="s">
        <v>79</v>
      </c>
      <c r="D53" s="81" t="s">
        <v>37</v>
      </c>
      <c r="E53" s="89">
        <f>IF(D53='Tablas AR'!$B$4,1,IF('Análisis de Riesgos'!D53='Tablas AR'!$B$5,2,IF('Análisis de Riesgos'!D53='Tablas AR'!$B$6,3,"")))</f>
        <v>1</v>
      </c>
      <c r="F53" s="81" t="s">
        <v>41</v>
      </c>
      <c r="G53" s="89">
        <f>IF(F53='Tablas AR'!$B$10,1,IF('Análisis de Riesgos'!F53='Tablas AR'!$B$11,2,IF('Análisis de Riesgos'!F53='Tablas AR'!$B$12,3,"")))</f>
        <v>3</v>
      </c>
      <c r="H53" s="89">
        <f t="shared" si="1"/>
        <v>3</v>
      </c>
    </row>
    <row r="54" ht="14.25" customHeight="1">
      <c r="B54" s="88" t="s">
        <v>129</v>
      </c>
      <c r="C54" s="88" t="s">
        <v>80</v>
      </c>
      <c r="D54" s="81" t="s">
        <v>37</v>
      </c>
      <c r="E54" s="89">
        <f>IF(D54='Tablas AR'!$B$4,1,IF('Análisis de Riesgos'!D54='Tablas AR'!$B$5,2,IF('Análisis de Riesgos'!D54='Tablas AR'!$B$6,3,"")))</f>
        <v>1</v>
      </c>
      <c r="F54" s="81" t="s">
        <v>41</v>
      </c>
      <c r="G54" s="89">
        <f>IF(F54='Tablas AR'!$B$10,1,IF('Análisis de Riesgos'!F54='Tablas AR'!$B$11,2,IF('Análisis de Riesgos'!F54='Tablas AR'!$B$12,3,"")))</f>
        <v>3</v>
      </c>
      <c r="H54" s="89">
        <f t="shared" si="1"/>
        <v>3</v>
      </c>
    </row>
    <row r="55" ht="14.25" customHeight="1">
      <c r="B55" s="88" t="s">
        <v>129</v>
      </c>
      <c r="C55" s="88" t="s">
        <v>81</v>
      </c>
      <c r="D55" s="81" t="s">
        <v>41</v>
      </c>
      <c r="E55" s="89">
        <f>IF(D55='Tablas AR'!$B$4,1,IF('Análisis de Riesgos'!D55='Tablas AR'!$B$5,2,IF('Análisis de Riesgos'!D55='Tablas AR'!$B$6,3,"")))</f>
        <v>3</v>
      </c>
      <c r="F55" s="81" t="s">
        <v>41</v>
      </c>
      <c r="G55" s="89">
        <f>IF(F55='Tablas AR'!$B$10,1,IF('Análisis de Riesgos'!F55='Tablas AR'!$B$11,2,IF('Análisis de Riesgos'!F55='Tablas AR'!$B$12,3,"")))</f>
        <v>3</v>
      </c>
      <c r="H55" s="89">
        <f t="shared" si="1"/>
        <v>9</v>
      </c>
    </row>
    <row r="56" ht="14.25" customHeight="1">
      <c r="B56" s="88" t="s">
        <v>129</v>
      </c>
      <c r="C56" s="88" t="s">
        <v>58</v>
      </c>
      <c r="D56" s="81" t="s">
        <v>37</v>
      </c>
      <c r="E56" s="89">
        <f>IF(D56='Tablas AR'!$B$4,1,IF('Análisis de Riesgos'!D56='Tablas AR'!$B$5,2,IF('Análisis de Riesgos'!D56='Tablas AR'!$B$6,3,"")))</f>
        <v>1</v>
      </c>
      <c r="F56" s="81" t="s">
        <v>37</v>
      </c>
      <c r="G56" s="89">
        <f>IF(F56='Tablas AR'!$B$10,1,IF('Análisis de Riesgos'!F56='Tablas AR'!$B$11,2,IF('Análisis de Riesgos'!F56='Tablas AR'!$B$12,3,"")))</f>
        <v>1</v>
      </c>
      <c r="H56" s="89">
        <f t="shared" si="1"/>
        <v>1</v>
      </c>
    </row>
    <row r="57" ht="14.25" customHeight="1">
      <c r="B57" s="88" t="s">
        <v>129</v>
      </c>
      <c r="C57" s="88" t="s">
        <v>61</v>
      </c>
      <c r="D57" s="81" t="s">
        <v>39</v>
      </c>
      <c r="E57" s="89">
        <f>IF(D57='Tablas AR'!$B$4,1,IF('Análisis de Riesgos'!D57='Tablas AR'!$B$5,2,IF('Análisis de Riesgos'!D57='Tablas AR'!$B$6,3,"")))</f>
        <v>2</v>
      </c>
      <c r="F57" s="81" t="s">
        <v>37</v>
      </c>
      <c r="G57" s="89">
        <f>IF(F57='Tablas AR'!$B$10,1,IF('Análisis de Riesgos'!F57='Tablas AR'!$B$11,2,IF('Análisis de Riesgos'!F57='Tablas AR'!$B$12,3,"")))</f>
        <v>1</v>
      </c>
      <c r="H57" s="89">
        <f t="shared" si="1"/>
        <v>2</v>
      </c>
    </row>
    <row r="58" ht="14.25" customHeight="1">
      <c r="B58" s="88" t="s">
        <v>129</v>
      </c>
      <c r="C58" s="88" t="s">
        <v>64</v>
      </c>
      <c r="D58" s="81" t="s">
        <v>39</v>
      </c>
      <c r="E58" s="89">
        <f>IF(D58='Tablas AR'!$B$4,1,IF('Análisis de Riesgos'!D58='Tablas AR'!$B$5,2,IF('Análisis de Riesgos'!D58='Tablas AR'!$B$6,3,"")))</f>
        <v>2</v>
      </c>
      <c r="F58" s="81" t="s">
        <v>41</v>
      </c>
      <c r="G58" s="89">
        <f>IF(F58='Tablas AR'!$B$10,1,IF('Análisis de Riesgos'!F58='Tablas AR'!$B$11,2,IF('Análisis de Riesgos'!F58='Tablas AR'!$B$12,3,"")))</f>
        <v>3</v>
      </c>
      <c r="H58" s="89">
        <f t="shared" si="1"/>
        <v>6</v>
      </c>
    </row>
    <row r="59" ht="14.25" customHeight="1">
      <c r="B59" s="88" t="s">
        <v>129</v>
      </c>
      <c r="C59" s="88" t="s">
        <v>29</v>
      </c>
      <c r="D59" s="81" t="s">
        <v>39</v>
      </c>
      <c r="E59" s="89">
        <f>IF(D59='Tablas AR'!$B$4,1,IF('Análisis de Riesgos'!D59='Tablas AR'!$B$5,2,IF('Análisis de Riesgos'!D59='Tablas AR'!$B$6,3,"")))</f>
        <v>2</v>
      </c>
      <c r="F59" s="81" t="s">
        <v>41</v>
      </c>
      <c r="G59" s="89">
        <f>IF(F59='Tablas AR'!$B$10,1,IF('Análisis de Riesgos'!F59='Tablas AR'!$B$11,2,IF('Análisis de Riesgos'!F59='Tablas AR'!$B$12,3,"")))</f>
        <v>3</v>
      </c>
      <c r="H59" s="89">
        <f t="shared" si="1"/>
        <v>6</v>
      </c>
    </row>
    <row r="60" ht="14.25" customHeight="1">
      <c r="B60" s="88" t="s">
        <v>129</v>
      </c>
      <c r="C60" s="88" t="s">
        <v>68</v>
      </c>
      <c r="D60" s="81" t="s">
        <v>37</v>
      </c>
      <c r="E60" s="89">
        <f>IF(D60='Tablas AR'!$B$4,1,IF('Análisis de Riesgos'!D60='Tablas AR'!$B$5,2,IF('Análisis de Riesgos'!D60='Tablas AR'!$B$6,3,"")))</f>
        <v>1</v>
      </c>
      <c r="F60" s="81" t="s">
        <v>41</v>
      </c>
      <c r="G60" s="89">
        <f>IF(F60='Tablas AR'!$B$10,1,IF('Análisis de Riesgos'!F60='Tablas AR'!$B$11,2,IF('Análisis de Riesgos'!F60='Tablas AR'!$B$12,3,"")))</f>
        <v>3</v>
      </c>
      <c r="H60" s="89">
        <f t="shared" si="1"/>
        <v>3</v>
      </c>
    </row>
    <row r="61" ht="14.25" customHeight="1">
      <c r="B61" s="88" t="s">
        <v>129</v>
      </c>
      <c r="C61" s="88" t="s">
        <v>70</v>
      </c>
      <c r="D61" s="81" t="s">
        <v>39</v>
      </c>
      <c r="E61" s="89">
        <f>IF(D61='Tablas AR'!$B$4,1,IF('Análisis de Riesgos'!D61='Tablas AR'!$B$5,2,IF('Análisis de Riesgos'!D61='Tablas AR'!$B$6,3,"")))</f>
        <v>2</v>
      </c>
      <c r="F61" s="81" t="s">
        <v>41</v>
      </c>
      <c r="G61" s="89">
        <f>IF(F61='Tablas AR'!$B$10,1,IF('Análisis de Riesgos'!F61='Tablas AR'!$B$11,2,IF('Análisis de Riesgos'!F61='Tablas AR'!$B$12,3,"")))</f>
        <v>3</v>
      </c>
      <c r="H61" s="89">
        <f t="shared" si="1"/>
        <v>6</v>
      </c>
    </row>
    <row r="62" ht="14.25" customHeight="1">
      <c r="B62" s="88" t="s">
        <v>129</v>
      </c>
      <c r="C62" s="88" t="s">
        <v>73</v>
      </c>
      <c r="D62" s="81" t="s">
        <v>37</v>
      </c>
      <c r="E62" s="89">
        <f>IF(D62='Tablas AR'!$B$4,1,IF('Análisis de Riesgos'!D62='Tablas AR'!$B$5,2,IF('Análisis de Riesgos'!D62='Tablas AR'!$B$6,3,"")))</f>
        <v>1</v>
      </c>
      <c r="F62" s="81" t="s">
        <v>41</v>
      </c>
      <c r="G62" s="89">
        <f>IF(F62='Tablas AR'!$B$10,1,IF('Análisis de Riesgos'!F62='Tablas AR'!$B$11,2,IF('Análisis de Riesgos'!F62='Tablas AR'!$B$12,3,"")))</f>
        <v>3</v>
      </c>
      <c r="H62" s="89">
        <f t="shared" si="1"/>
        <v>3</v>
      </c>
    </row>
    <row r="63" ht="14.25" customHeight="1">
      <c r="B63" s="88" t="s">
        <v>129</v>
      </c>
      <c r="C63" s="88" t="s">
        <v>76</v>
      </c>
      <c r="D63" s="81" t="s">
        <v>37</v>
      </c>
      <c r="E63" s="89">
        <f>IF(D63='Tablas AR'!$B$4,1,IF('Análisis de Riesgos'!D63='Tablas AR'!$B$5,2,IF('Análisis de Riesgos'!D63='Tablas AR'!$B$6,3,"")))</f>
        <v>1</v>
      </c>
      <c r="F63" s="81" t="s">
        <v>41</v>
      </c>
      <c r="G63" s="89">
        <f>IF(F63='Tablas AR'!$B$10,1,IF('Análisis de Riesgos'!F63='Tablas AR'!$B$11,2,IF('Análisis de Riesgos'!F63='Tablas AR'!$B$12,3,"")))</f>
        <v>3</v>
      </c>
      <c r="H63" s="89">
        <f t="shared" si="1"/>
        <v>3</v>
      </c>
    </row>
    <row r="64" ht="14.25" customHeight="1">
      <c r="B64" s="88" t="s">
        <v>130</v>
      </c>
      <c r="C64" s="88" t="s">
        <v>75</v>
      </c>
      <c r="D64" s="81" t="s">
        <v>37</v>
      </c>
      <c r="E64" s="89">
        <f>IF(D64='Tablas AR'!$B$4,1,IF('Análisis de Riesgos'!D64='Tablas AR'!$B$5,2,IF('Análisis de Riesgos'!D64='Tablas AR'!$B$6,3,"")))</f>
        <v>1</v>
      </c>
      <c r="F64" s="81" t="s">
        <v>39</v>
      </c>
      <c r="G64" s="89">
        <f>IF(F64='Tablas AR'!$B$10,1,IF('Análisis de Riesgos'!F64='Tablas AR'!$B$11,2,IF('Análisis de Riesgos'!F64='Tablas AR'!$B$12,3,"")))</f>
        <v>2</v>
      </c>
      <c r="H64" s="89">
        <f t="shared" si="1"/>
        <v>2</v>
      </c>
    </row>
    <row r="65" ht="14.25" customHeight="1">
      <c r="B65" s="88" t="s">
        <v>130</v>
      </c>
      <c r="C65" s="88" t="s">
        <v>78</v>
      </c>
      <c r="D65" s="81" t="s">
        <v>37</v>
      </c>
      <c r="E65" s="89">
        <f>IF(D65='Tablas AR'!$B$4,1,IF('Análisis de Riesgos'!D65='Tablas AR'!$B$5,2,IF('Análisis de Riesgos'!D65='Tablas AR'!$B$6,3,"")))</f>
        <v>1</v>
      </c>
      <c r="F65" s="81" t="s">
        <v>39</v>
      </c>
      <c r="G65" s="89">
        <f>IF(F65='Tablas AR'!$B$10,1,IF('Análisis de Riesgos'!F65='Tablas AR'!$B$11,2,IF('Análisis de Riesgos'!F65='Tablas AR'!$B$12,3,"")))</f>
        <v>2</v>
      </c>
      <c r="H65" s="89">
        <f t="shared" si="1"/>
        <v>2</v>
      </c>
    </row>
    <row r="66" ht="14.25" customHeight="1">
      <c r="B66" s="88" t="s">
        <v>130</v>
      </c>
      <c r="C66" s="88" t="s">
        <v>28</v>
      </c>
      <c r="D66" s="81" t="s">
        <v>39</v>
      </c>
      <c r="E66" s="89">
        <f>IF(D66='Tablas AR'!$B$4,1,IF('Análisis de Riesgos'!D66='Tablas AR'!$B$5,2,IF('Análisis de Riesgos'!D66='Tablas AR'!$B$6,3,"")))</f>
        <v>2</v>
      </c>
      <c r="F66" s="81" t="s">
        <v>41</v>
      </c>
      <c r="G66" s="89">
        <f>IF(F66='Tablas AR'!$B$10,1,IF('Análisis de Riesgos'!F66='Tablas AR'!$B$11,2,IF('Análisis de Riesgos'!F66='Tablas AR'!$B$12,3,"")))</f>
        <v>3</v>
      </c>
      <c r="H66" s="89">
        <f t="shared" si="1"/>
        <v>6</v>
      </c>
    </row>
    <row r="67" ht="14.25" customHeight="1">
      <c r="B67" s="88" t="s">
        <v>130</v>
      </c>
      <c r="C67" s="88" t="s">
        <v>64</v>
      </c>
      <c r="D67" s="81" t="s">
        <v>39</v>
      </c>
      <c r="E67" s="89">
        <f>IF(D67='Tablas AR'!$B$4,1,IF('Análisis de Riesgos'!D67='Tablas AR'!$B$5,2,IF('Análisis de Riesgos'!D67='Tablas AR'!$B$6,3,"")))</f>
        <v>2</v>
      </c>
      <c r="F67" s="81" t="s">
        <v>41</v>
      </c>
      <c r="G67" s="89">
        <f>IF(F67='Tablas AR'!$B$10,1,IF('Análisis de Riesgos'!F67='Tablas AR'!$B$11,2,IF('Análisis de Riesgos'!F67='Tablas AR'!$B$12,3,"")))</f>
        <v>3</v>
      </c>
      <c r="H67" s="89">
        <f t="shared" si="1"/>
        <v>6</v>
      </c>
    </row>
    <row r="68" ht="14.25" customHeight="1">
      <c r="B68" s="88" t="s">
        <v>130</v>
      </c>
      <c r="C68" s="88" t="s">
        <v>29</v>
      </c>
      <c r="D68" s="81" t="s">
        <v>37</v>
      </c>
      <c r="E68" s="89">
        <f>IF(D68='Tablas AR'!$B$4,1,IF('Análisis de Riesgos'!D68='Tablas AR'!$B$5,2,IF('Análisis de Riesgos'!D68='Tablas AR'!$B$6,3,"")))</f>
        <v>1</v>
      </c>
      <c r="F68" s="81" t="s">
        <v>41</v>
      </c>
      <c r="G68" s="89">
        <f>IF(F68='Tablas AR'!$B$10,1,IF('Análisis de Riesgos'!F68='Tablas AR'!$B$11,2,IF('Análisis de Riesgos'!F68='Tablas AR'!$B$12,3,"")))</f>
        <v>3</v>
      </c>
      <c r="H68" s="89">
        <f t="shared" si="1"/>
        <v>3</v>
      </c>
    </row>
    <row r="69" ht="14.25" customHeight="1">
      <c r="B69" s="88" t="s">
        <v>113</v>
      </c>
      <c r="C69" s="88" t="s">
        <v>25</v>
      </c>
      <c r="D69" s="81" t="s">
        <v>39</v>
      </c>
      <c r="E69" s="89">
        <f>IF(D69='Tablas AR'!$B$4,1,IF('Análisis de Riesgos'!D69='Tablas AR'!$B$5,2,IF('Análisis de Riesgos'!D69='Tablas AR'!$B$6,3,"")))</f>
        <v>2</v>
      </c>
      <c r="F69" s="81" t="s">
        <v>39</v>
      </c>
      <c r="G69" s="89">
        <f>IF(F69='Tablas AR'!$B$10,1,IF('Análisis de Riesgos'!F69='Tablas AR'!$B$11,2,IF('Análisis de Riesgos'!F69='Tablas AR'!$B$12,3,"")))</f>
        <v>2</v>
      </c>
      <c r="H69" s="89">
        <f t="shared" si="1"/>
        <v>4</v>
      </c>
    </row>
    <row r="70" ht="14.25" customHeight="1">
      <c r="B70" s="88" t="s">
        <v>113</v>
      </c>
      <c r="C70" s="88" t="s">
        <v>69</v>
      </c>
      <c r="D70" s="81" t="s">
        <v>37</v>
      </c>
      <c r="E70" s="89">
        <f>IF(D70='Tablas AR'!$B$4,1,IF('Análisis de Riesgos'!D70='Tablas AR'!$B$5,2,IF('Análisis de Riesgos'!D70='Tablas AR'!$B$6,3,"")))</f>
        <v>1</v>
      </c>
      <c r="F70" s="81" t="s">
        <v>39</v>
      </c>
      <c r="G70" s="89">
        <f>IF(F70='Tablas AR'!$B$10,1,IF('Análisis de Riesgos'!F70='Tablas AR'!$B$11,2,IF('Análisis de Riesgos'!F70='Tablas AR'!$B$12,3,"")))</f>
        <v>2</v>
      </c>
      <c r="H70" s="89">
        <f t="shared" si="1"/>
        <v>2</v>
      </c>
    </row>
    <row r="71" ht="14.25" customHeight="1">
      <c r="B71" s="88" t="s">
        <v>113</v>
      </c>
      <c r="C71" s="88" t="s">
        <v>71</v>
      </c>
      <c r="D71" s="81" t="s">
        <v>39</v>
      </c>
      <c r="E71" s="89">
        <f>IF(D71='Tablas AR'!$B$4,1,IF('Análisis de Riesgos'!D71='Tablas AR'!$B$5,2,IF('Análisis de Riesgos'!D71='Tablas AR'!$B$6,3,"")))</f>
        <v>2</v>
      </c>
      <c r="F71" s="81" t="s">
        <v>39</v>
      </c>
      <c r="G71" s="89">
        <f>IF(F71='Tablas AR'!$B$10,1,IF('Análisis de Riesgos'!F71='Tablas AR'!$B$11,2,IF('Análisis de Riesgos'!F71='Tablas AR'!$B$12,3,"")))</f>
        <v>2</v>
      </c>
      <c r="H71" s="89">
        <f t="shared" si="1"/>
        <v>4</v>
      </c>
    </row>
    <row r="72" ht="14.25" customHeight="1">
      <c r="B72" s="88" t="s">
        <v>113</v>
      </c>
      <c r="C72" s="88" t="s">
        <v>74</v>
      </c>
      <c r="D72" s="81" t="s">
        <v>39</v>
      </c>
      <c r="E72" s="89">
        <f>IF(D72='Tablas AR'!$B$4,1,IF('Análisis de Riesgos'!D72='Tablas AR'!$B$5,2,IF('Análisis de Riesgos'!D72='Tablas AR'!$B$6,3,"")))</f>
        <v>2</v>
      </c>
      <c r="F72" s="81" t="s">
        <v>39</v>
      </c>
      <c r="G72" s="89">
        <f>IF(F72='Tablas AR'!$B$10,1,IF('Análisis de Riesgos'!F72='Tablas AR'!$B$11,2,IF('Análisis de Riesgos'!F72='Tablas AR'!$B$12,3,"")))</f>
        <v>2</v>
      </c>
      <c r="H72" s="89">
        <f t="shared" si="1"/>
        <v>4</v>
      </c>
    </row>
    <row r="73" ht="14.25" customHeight="1">
      <c r="B73" s="88" t="s">
        <v>113</v>
      </c>
      <c r="C73" s="88" t="s">
        <v>77</v>
      </c>
      <c r="D73" s="81" t="s">
        <v>41</v>
      </c>
      <c r="E73" s="89">
        <f>IF(D73='Tablas AR'!$B$4,1,IF('Análisis de Riesgos'!D73='Tablas AR'!$B$5,2,IF('Análisis de Riesgos'!D73='Tablas AR'!$B$6,3,"")))</f>
        <v>3</v>
      </c>
      <c r="F73" s="81" t="s">
        <v>37</v>
      </c>
      <c r="G73" s="89">
        <f>IF(F73='Tablas AR'!$B$10,1,IF('Análisis de Riesgos'!F73='Tablas AR'!$B$11,2,IF('Análisis de Riesgos'!F73='Tablas AR'!$B$12,3,"")))</f>
        <v>1</v>
      </c>
      <c r="H73" s="89">
        <f t="shared" si="1"/>
        <v>3</v>
      </c>
    </row>
    <row r="74" ht="14.25" customHeight="1">
      <c r="B74" s="88" t="s">
        <v>113</v>
      </c>
      <c r="C74" s="88" t="s">
        <v>75</v>
      </c>
      <c r="D74" s="81" t="s">
        <v>37</v>
      </c>
      <c r="E74" s="89">
        <f>IF(D74='Tablas AR'!$B$4,1,IF('Análisis de Riesgos'!D74='Tablas AR'!$B$5,2,IF('Análisis de Riesgos'!D74='Tablas AR'!$B$6,3,"")))</f>
        <v>1</v>
      </c>
      <c r="F74" s="81" t="s">
        <v>39</v>
      </c>
      <c r="G74" s="89">
        <f>IF(F74='Tablas AR'!$B$10,1,IF('Análisis de Riesgos'!F74='Tablas AR'!$B$11,2,IF('Análisis de Riesgos'!F74='Tablas AR'!$B$12,3,"")))</f>
        <v>2</v>
      </c>
      <c r="H74" s="89">
        <f t="shared" si="1"/>
        <v>2</v>
      </c>
    </row>
    <row r="75" ht="14.25" customHeight="1">
      <c r="B75" s="88" t="s">
        <v>113</v>
      </c>
      <c r="C75" s="88" t="s">
        <v>78</v>
      </c>
      <c r="D75" s="81" t="s">
        <v>37</v>
      </c>
      <c r="E75" s="89">
        <f>IF(D75='Tablas AR'!$B$4,1,IF('Análisis de Riesgos'!D75='Tablas AR'!$B$5,2,IF('Análisis de Riesgos'!D75='Tablas AR'!$B$6,3,"")))</f>
        <v>1</v>
      </c>
      <c r="F75" s="81" t="s">
        <v>39</v>
      </c>
      <c r="G75" s="89">
        <f>IF(F75='Tablas AR'!$B$10,1,IF('Análisis de Riesgos'!F75='Tablas AR'!$B$11,2,IF('Análisis de Riesgos'!F75='Tablas AR'!$B$12,3,"")))</f>
        <v>2</v>
      </c>
      <c r="H75" s="89">
        <f t="shared" si="1"/>
        <v>2</v>
      </c>
    </row>
    <row r="76" ht="14.25" customHeight="1">
      <c r="B76" s="88" t="s">
        <v>113</v>
      </c>
      <c r="C76" s="88" t="s">
        <v>28</v>
      </c>
      <c r="D76" s="81" t="s">
        <v>39</v>
      </c>
      <c r="E76" s="89">
        <f>IF(D76='Tablas AR'!$B$4,1,IF('Análisis de Riesgos'!D76='Tablas AR'!$B$5,2,IF('Análisis de Riesgos'!D76='Tablas AR'!$B$6,3,"")))</f>
        <v>2</v>
      </c>
      <c r="F76" s="81" t="s">
        <v>41</v>
      </c>
      <c r="G76" s="89">
        <f>IF(F76='Tablas AR'!$B$10,1,IF('Análisis de Riesgos'!F76='Tablas AR'!$B$11,2,IF('Análisis de Riesgos'!F76='Tablas AR'!$B$12,3,"")))</f>
        <v>3</v>
      </c>
      <c r="H76" s="89">
        <f t="shared" si="1"/>
        <v>6</v>
      </c>
    </row>
    <row r="77" ht="14.25" customHeight="1">
      <c r="B77" s="88" t="s">
        <v>113</v>
      </c>
      <c r="C77" s="88" t="s">
        <v>64</v>
      </c>
      <c r="D77" s="81" t="s">
        <v>39</v>
      </c>
      <c r="E77" s="89">
        <f>IF(D77='Tablas AR'!$B$4,1,IF('Análisis de Riesgos'!D77='Tablas AR'!$B$5,2,IF('Análisis de Riesgos'!D77='Tablas AR'!$B$6,3,"")))</f>
        <v>2</v>
      </c>
      <c r="F77" s="81" t="s">
        <v>41</v>
      </c>
      <c r="G77" s="89">
        <f>IF(F77='Tablas AR'!$B$10,1,IF('Análisis de Riesgos'!F77='Tablas AR'!$B$11,2,IF('Análisis de Riesgos'!F77='Tablas AR'!$B$12,3,"")))</f>
        <v>3</v>
      </c>
      <c r="H77" s="89">
        <f t="shared" si="1"/>
        <v>6</v>
      </c>
    </row>
    <row r="78" ht="14.25" customHeight="1">
      <c r="B78" s="88" t="s">
        <v>113</v>
      </c>
      <c r="C78" s="88" t="s">
        <v>29</v>
      </c>
      <c r="D78" s="81" t="s">
        <v>37</v>
      </c>
      <c r="E78" s="89">
        <f>IF(D78='Tablas AR'!$B$4,1,IF('Análisis de Riesgos'!D78='Tablas AR'!$B$5,2,IF('Análisis de Riesgos'!D78='Tablas AR'!$B$6,3,"")))</f>
        <v>1</v>
      </c>
      <c r="F78" s="81" t="s">
        <v>41</v>
      </c>
      <c r="G78" s="89">
        <f>IF(F78='Tablas AR'!$B$10,1,IF('Análisis de Riesgos'!F78='Tablas AR'!$B$11,2,IF('Análisis de Riesgos'!F78='Tablas AR'!$B$12,3,"")))</f>
        <v>3</v>
      </c>
      <c r="H78" s="89">
        <f t="shared" si="1"/>
        <v>3</v>
      </c>
    </row>
    <row r="79" ht="14.25" customHeight="1">
      <c r="B79" s="88" t="s">
        <v>113</v>
      </c>
      <c r="C79" s="90" t="s">
        <v>68</v>
      </c>
      <c r="D79" s="81" t="s">
        <v>37</v>
      </c>
      <c r="E79" s="89">
        <f>IF(D79='Tablas AR'!$B$4,1,IF('Análisis de Riesgos'!D79='Tablas AR'!$B$5,2,IF('Análisis de Riesgos'!D79='Tablas AR'!$B$6,3,"")))</f>
        <v>1</v>
      </c>
      <c r="F79" s="81" t="s">
        <v>41</v>
      </c>
      <c r="G79" s="89">
        <f>IF(F79='Tablas AR'!$B$10,1,IF('Análisis de Riesgos'!F79='Tablas AR'!$B$11,2,IF('Análisis de Riesgos'!F79='Tablas AR'!$B$12,3,"")))</f>
        <v>3</v>
      </c>
      <c r="H79" s="89">
        <f t="shared" si="1"/>
        <v>3</v>
      </c>
    </row>
    <row r="80" ht="14.25" customHeight="1">
      <c r="B80" s="91" t="s">
        <v>117</v>
      </c>
      <c r="C80" s="92" t="s">
        <v>57</v>
      </c>
      <c r="D80" s="81" t="s">
        <v>37</v>
      </c>
      <c r="E80" s="89">
        <f>IF(D80='Tablas AR'!$B$4,1,IF('Análisis de Riesgos'!D80='Tablas AR'!$B$5,2,IF('Análisis de Riesgos'!D80='Tablas AR'!$B$6,3,"")))</f>
        <v>1</v>
      </c>
      <c r="F80" s="81" t="s">
        <v>41</v>
      </c>
      <c r="G80" s="89">
        <f>IF(F80='Tablas AR'!$B$10,1,IF('Análisis de Riesgos'!F80='Tablas AR'!$B$11,2,IF('Análisis de Riesgos'!F80='Tablas AR'!$B$12,3,"")))</f>
        <v>3</v>
      </c>
      <c r="H80" s="89">
        <f t="shared" si="1"/>
        <v>3</v>
      </c>
    </row>
    <row r="81" ht="14.25" customHeight="1">
      <c r="B81" s="91" t="s">
        <v>117</v>
      </c>
      <c r="C81" s="92" t="s">
        <v>59</v>
      </c>
      <c r="D81" s="81" t="s">
        <v>37</v>
      </c>
      <c r="E81" s="89">
        <f>IF(D81='Tablas AR'!$B$4,1,IF('Análisis de Riesgos'!D81='Tablas AR'!$B$5,2,IF('Análisis de Riesgos'!D81='Tablas AR'!$B$6,3,"")))</f>
        <v>1</v>
      </c>
      <c r="F81" s="81" t="s">
        <v>41</v>
      </c>
      <c r="G81" s="89">
        <f>IF(F81='Tablas AR'!$B$10,1,IF('Análisis de Riesgos'!F81='Tablas AR'!$B$11,2,IF('Análisis de Riesgos'!F81='Tablas AR'!$B$12,3,"")))</f>
        <v>3</v>
      </c>
      <c r="H81" s="89">
        <f t="shared" si="1"/>
        <v>3</v>
      </c>
    </row>
    <row r="82" ht="14.25" customHeight="1">
      <c r="B82" s="91" t="s">
        <v>117</v>
      </c>
      <c r="C82" s="92" t="s">
        <v>62</v>
      </c>
      <c r="D82" s="81" t="s">
        <v>37</v>
      </c>
      <c r="E82" s="89">
        <f>IF(D82='Tablas AR'!$B$4,1,IF('Análisis de Riesgos'!D82='Tablas AR'!$B$5,2,IF('Análisis de Riesgos'!D82='Tablas AR'!$B$6,3,"")))</f>
        <v>1</v>
      </c>
      <c r="F82" s="81" t="s">
        <v>41</v>
      </c>
      <c r="G82" s="89">
        <f>IF(F82='Tablas AR'!$B$10,1,IF('Análisis de Riesgos'!F82='Tablas AR'!$B$11,2,IF('Análisis de Riesgos'!F82='Tablas AR'!$B$12,3,"")))</f>
        <v>3</v>
      </c>
      <c r="H82" s="89">
        <f t="shared" si="1"/>
        <v>3</v>
      </c>
    </row>
    <row r="83" ht="14.25" customHeight="1">
      <c r="B83" s="91" t="s">
        <v>117</v>
      </c>
      <c r="C83" s="92" t="s">
        <v>31</v>
      </c>
      <c r="D83" s="81" t="s">
        <v>39</v>
      </c>
      <c r="E83" s="89">
        <f>IF(D83='Tablas AR'!$B$4,1,IF('Análisis de Riesgos'!D83='Tablas AR'!$B$5,2,IF('Análisis de Riesgos'!D83='Tablas AR'!$B$6,3,"")))</f>
        <v>2</v>
      </c>
      <c r="F83" s="81" t="s">
        <v>41</v>
      </c>
      <c r="G83" s="89">
        <f>IF(F83='Tablas AR'!$B$10,1,IF('Análisis de Riesgos'!F83='Tablas AR'!$B$11,2,IF('Análisis de Riesgos'!F83='Tablas AR'!$B$12,3,"")))</f>
        <v>3</v>
      </c>
      <c r="H83" s="89">
        <f t="shared" si="1"/>
        <v>6</v>
      </c>
    </row>
    <row r="84" ht="14.25" customHeight="1">
      <c r="B84" s="91" t="s">
        <v>117</v>
      </c>
      <c r="C84" s="92" t="s">
        <v>60</v>
      </c>
      <c r="D84" s="81" t="s">
        <v>37</v>
      </c>
      <c r="E84" s="89">
        <f>IF(D84='Tablas AR'!$B$4,1,IF('Análisis de Riesgos'!D84='Tablas AR'!$B$5,2,IF('Análisis de Riesgos'!D84='Tablas AR'!$B$6,3,"")))</f>
        <v>1</v>
      </c>
      <c r="F84" s="81" t="s">
        <v>39</v>
      </c>
      <c r="G84" s="89">
        <f>IF(F84='Tablas AR'!$B$10,1,IF('Análisis de Riesgos'!F84='Tablas AR'!$B$11,2,IF('Análisis de Riesgos'!F84='Tablas AR'!$B$12,3,"")))</f>
        <v>2</v>
      </c>
      <c r="H84" s="89">
        <f t="shared" si="1"/>
        <v>2</v>
      </c>
    </row>
    <row r="85" ht="14.25" customHeight="1">
      <c r="B85" s="91" t="s">
        <v>117</v>
      </c>
      <c r="C85" s="92" t="s">
        <v>63</v>
      </c>
      <c r="D85" s="81" t="s">
        <v>39</v>
      </c>
      <c r="E85" s="89">
        <f>IF(D85='Tablas AR'!$B$4,1,IF('Análisis de Riesgos'!D85='Tablas AR'!$B$5,2,IF('Análisis de Riesgos'!D85='Tablas AR'!$B$6,3,"")))</f>
        <v>2</v>
      </c>
      <c r="F85" s="81" t="s">
        <v>39</v>
      </c>
      <c r="G85" s="89">
        <f>IF(F85='Tablas AR'!$B$10,1,IF('Análisis de Riesgos'!F85='Tablas AR'!$B$11,2,IF('Análisis de Riesgos'!F85='Tablas AR'!$B$12,3,"")))</f>
        <v>2</v>
      </c>
      <c r="H85" s="89">
        <f t="shared" si="1"/>
        <v>4</v>
      </c>
    </row>
    <row r="86" ht="14.25" customHeight="1">
      <c r="B86" s="91" t="s">
        <v>117</v>
      </c>
      <c r="C86" s="92" t="s">
        <v>65</v>
      </c>
      <c r="D86" s="81" t="s">
        <v>39</v>
      </c>
      <c r="E86" s="89">
        <f>IF(D86='Tablas AR'!$B$4,1,IF('Análisis de Riesgos'!D86='Tablas AR'!$B$5,2,IF('Análisis de Riesgos'!D86='Tablas AR'!$B$6,3,"")))</f>
        <v>2</v>
      </c>
      <c r="F86" s="81" t="s">
        <v>41</v>
      </c>
      <c r="G86" s="89">
        <f>IF(F86='Tablas AR'!$B$10,1,IF('Análisis de Riesgos'!F86='Tablas AR'!$B$11,2,IF('Análisis de Riesgos'!F86='Tablas AR'!$B$12,3,"")))</f>
        <v>3</v>
      </c>
      <c r="H86" s="89">
        <f t="shared" si="1"/>
        <v>6</v>
      </c>
    </row>
    <row r="87" ht="14.25" customHeight="1">
      <c r="B87" s="91" t="s">
        <v>117</v>
      </c>
      <c r="C87" s="92" t="s">
        <v>26</v>
      </c>
      <c r="D87" s="81" t="s">
        <v>37</v>
      </c>
      <c r="E87" s="89">
        <f>IF(D87='Tablas AR'!$B$4,1,IF('Análisis de Riesgos'!D87='Tablas AR'!$B$5,2,IF('Análisis de Riesgos'!D87='Tablas AR'!$B$6,3,"")))</f>
        <v>1</v>
      </c>
      <c r="F87" s="81" t="s">
        <v>41</v>
      </c>
      <c r="G87" s="89">
        <f>IF(F87='Tablas AR'!$B$10,1,IF('Análisis de Riesgos'!F87='Tablas AR'!$B$11,2,IF('Análisis de Riesgos'!F87='Tablas AR'!$B$12,3,"")))</f>
        <v>3</v>
      </c>
      <c r="H87" s="89">
        <f t="shared" si="1"/>
        <v>3</v>
      </c>
    </row>
    <row r="88" ht="14.25" customHeight="1">
      <c r="B88" s="91" t="s">
        <v>117</v>
      </c>
      <c r="C88" s="92" t="s">
        <v>75</v>
      </c>
      <c r="D88" s="81" t="s">
        <v>37</v>
      </c>
      <c r="E88" s="89">
        <f>IF(D88='Tablas AR'!$B$4,1,IF('Análisis de Riesgos'!D88='Tablas AR'!$B$5,2,IF('Análisis de Riesgos'!D88='Tablas AR'!$B$6,3,"")))</f>
        <v>1</v>
      </c>
      <c r="F88" s="81" t="s">
        <v>41</v>
      </c>
      <c r="G88" s="89">
        <f>IF(F88='Tablas AR'!$B$10,1,IF('Análisis de Riesgos'!F88='Tablas AR'!$B$11,2,IF('Análisis de Riesgos'!F88='Tablas AR'!$B$12,3,"")))</f>
        <v>3</v>
      </c>
      <c r="H88" s="89">
        <f t="shared" si="1"/>
        <v>3</v>
      </c>
    </row>
    <row r="89" ht="14.25" customHeight="1">
      <c r="B89" s="91" t="s">
        <v>117</v>
      </c>
      <c r="C89" s="92" t="s">
        <v>78</v>
      </c>
      <c r="D89" s="81" t="s">
        <v>37</v>
      </c>
      <c r="E89" s="89">
        <f>IF(D89='Tablas AR'!$B$4,1,IF('Análisis de Riesgos'!D89='Tablas AR'!$B$5,2,IF('Análisis de Riesgos'!D89='Tablas AR'!$B$6,3,"")))</f>
        <v>1</v>
      </c>
      <c r="F89" s="81" t="s">
        <v>41</v>
      </c>
      <c r="G89" s="89">
        <f>IF(F89='Tablas AR'!$B$10,1,IF('Análisis de Riesgos'!F89='Tablas AR'!$B$11,2,IF('Análisis de Riesgos'!F89='Tablas AR'!$B$12,3,"")))</f>
        <v>3</v>
      </c>
      <c r="H89" s="89">
        <f t="shared" si="1"/>
        <v>3</v>
      </c>
    </row>
    <row r="90" ht="14.25" customHeight="1">
      <c r="B90" s="91" t="s">
        <v>117</v>
      </c>
      <c r="C90" s="92" t="s">
        <v>28</v>
      </c>
      <c r="D90" s="81" t="s">
        <v>39</v>
      </c>
      <c r="E90" s="89">
        <f>IF(D90='Tablas AR'!$B$4,1,IF('Análisis de Riesgos'!D90='Tablas AR'!$B$5,2,IF('Análisis de Riesgos'!D90='Tablas AR'!$B$6,3,"")))</f>
        <v>2</v>
      </c>
      <c r="F90" s="81" t="s">
        <v>41</v>
      </c>
      <c r="G90" s="89">
        <f>IF(F90='Tablas AR'!$B$10,1,IF('Análisis de Riesgos'!F90='Tablas AR'!$B$11,2,IF('Análisis de Riesgos'!F90='Tablas AR'!$B$12,3,"")))</f>
        <v>3</v>
      </c>
      <c r="H90" s="89">
        <f t="shared" si="1"/>
        <v>6</v>
      </c>
    </row>
    <row r="91" ht="14.25" customHeight="1">
      <c r="B91" s="91" t="s">
        <v>117</v>
      </c>
      <c r="C91" s="92" t="s">
        <v>79</v>
      </c>
      <c r="D91" s="81" t="s">
        <v>39</v>
      </c>
      <c r="E91" s="89">
        <f>IF(D91='Tablas AR'!$B$4,1,IF('Análisis de Riesgos'!D91='Tablas AR'!$B$5,2,IF('Análisis de Riesgos'!D91='Tablas AR'!$B$6,3,"")))</f>
        <v>2</v>
      </c>
      <c r="F91" s="81" t="s">
        <v>41</v>
      </c>
      <c r="G91" s="89">
        <f>IF(F91='Tablas AR'!$B$10,1,IF('Análisis de Riesgos'!F91='Tablas AR'!$B$11,2,IF('Análisis de Riesgos'!F91='Tablas AR'!$B$12,3,"")))</f>
        <v>3</v>
      </c>
      <c r="H91" s="89">
        <f t="shared" si="1"/>
        <v>6</v>
      </c>
    </row>
    <row r="92" ht="14.25" customHeight="1">
      <c r="B92" s="91" t="s">
        <v>117</v>
      </c>
      <c r="C92" s="92" t="s">
        <v>70</v>
      </c>
      <c r="D92" s="81" t="s">
        <v>37</v>
      </c>
      <c r="E92" s="89">
        <f>IF(D92='Tablas AR'!$B$4,1,IF('Análisis de Riesgos'!D92='Tablas AR'!$B$5,2,IF('Análisis de Riesgos'!D92='Tablas AR'!$B$6,3,"")))</f>
        <v>1</v>
      </c>
      <c r="F92" s="81" t="s">
        <v>37</v>
      </c>
      <c r="G92" s="89">
        <f>IF(F92='Tablas AR'!$B$10,1,IF('Análisis de Riesgos'!F92='Tablas AR'!$B$11,2,IF('Análisis de Riesgos'!F92='Tablas AR'!$B$12,3,"")))</f>
        <v>1</v>
      </c>
      <c r="H92" s="89">
        <f t="shared" si="1"/>
        <v>1</v>
      </c>
    </row>
    <row r="93" ht="14.25" customHeight="1">
      <c r="B93" s="91" t="s">
        <v>117</v>
      </c>
      <c r="C93" s="92" t="s">
        <v>80</v>
      </c>
      <c r="D93" s="81" t="s">
        <v>37</v>
      </c>
      <c r="E93" s="89">
        <f>IF(D93='Tablas AR'!$B$4,1,IF('Análisis de Riesgos'!D93='Tablas AR'!$B$5,2,IF('Análisis de Riesgos'!D93='Tablas AR'!$B$6,3,"")))</f>
        <v>1</v>
      </c>
      <c r="F93" s="81" t="s">
        <v>41</v>
      </c>
      <c r="G93" s="89">
        <f>IF(F93='Tablas AR'!$B$10,1,IF('Análisis de Riesgos'!F93='Tablas AR'!$B$11,2,IF('Análisis de Riesgos'!F93='Tablas AR'!$B$12,3,"")))</f>
        <v>3</v>
      </c>
      <c r="H93" s="89">
        <f t="shared" si="1"/>
        <v>3</v>
      </c>
    </row>
    <row r="94" ht="14.25" customHeight="1">
      <c r="B94" s="91" t="s">
        <v>117</v>
      </c>
      <c r="C94" s="92" t="s">
        <v>81</v>
      </c>
      <c r="D94" s="81" t="s">
        <v>41</v>
      </c>
      <c r="E94" s="89">
        <f>IF(D94='Tablas AR'!$B$4,1,IF('Análisis de Riesgos'!D94='Tablas AR'!$B$5,2,IF('Análisis de Riesgos'!D94='Tablas AR'!$B$6,3,"")))</f>
        <v>3</v>
      </c>
      <c r="F94" s="81" t="s">
        <v>41</v>
      </c>
      <c r="G94" s="89">
        <f>IF(F94='Tablas AR'!$B$10,1,IF('Análisis de Riesgos'!F94='Tablas AR'!$B$11,2,IF('Análisis de Riesgos'!F94='Tablas AR'!$B$12,3,"")))</f>
        <v>3</v>
      </c>
      <c r="H94" s="89">
        <f t="shared" si="1"/>
        <v>9</v>
      </c>
    </row>
    <row r="95" ht="14.25" customHeight="1">
      <c r="B95" s="91" t="s">
        <v>117</v>
      </c>
      <c r="C95" s="92" t="s">
        <v>58</v>
      </c>
      <c r="D95" s="81" t="s">
        <v>37</v>
      </c>
      <c r="E95" s="89">
        <f>IF(D95='Tablas AR'!$B$4,1,IF('Análisis de Riesgos'!D95='Tablas AR'!$B$5,2,IF('Análisis de Riesgos'!D95='Tablas AR'!$B$6,3,"")))</f>
        <v>1</v>
      </c>
      <c r="F95" s="81" t="s">
        <v>41</v>
      </c>
      <c r="G95" s="89">
        <f>IF(F95='Tablas AR'!$B$10,1,IF('Análisis de Riesgos'!F95='Tablas AR'!$B$11,2,IF('Análisis de Riesgos'!F95='Tablas AR'!$B$12,3,"")))</f>
        <v>3</v>
      </c>
      <c r="H95" s="89">
        <f t="shared" si="1"/>
        <v>3</v>
      </c>
    </row>
    <row r="96" ht="14.25" customHeight="1">
      <c r="B96" s="91" t="s">
        <v>117</v>
      </c>
      <c r="C96" s="92" t="s">
        <v>61</v>
      </c>
      <c r="D96" s="81" t="s">
        <v>39</v>
      </c>
      <c r="E96" s="89">
        <f>IF(D96='Tablas AR'!$B$4,1,IF('Análisis de Riesgos'!D96='Tablas AR'!$B$5,2,IF('Análisis de Riesgos'!D96='Tablas AR'!$B$6,3,"")))</f>
        <v>2</v>
      </c>
      <c r="F96" s="81" t="s">
        <v>39</v>
      </c>
      <c r="G96" s="89">
        <f>IF(F96='Tablas AR'!$B$10,1,IF('Análisis de Riesgos'!F96='Tablas AR'!$B$11,2,IF('Análisis de Riesgos'!F96='Tablas AR'!$B$12,3,"")))</f>
        <v>2</v>
      </c>
      <c r="H96" s="89">
        <f t="shared" si="1"/>
        <v>4</v>
      </c>
    </row>
    <row r="97" ht="14.25" customHeight="1">
      <c r="B97" s="91" t="s">
        <v>117</v>
      </c>
      <c r="C97" s="92" t="s">
        <v>64</v>
      </c>
      <c r="D97" s="81" t="s">
        <v>37</v>
      </c>
      <c r="E97" s="89">
        <f>IF(D97='Tablas AR'!$B$4,1,IF('Análisis de Riesgos'!D97='Tablas AR'!$B$5,2,IF('Análisis de Riesgos'!D97='Tablas AR'!$B$6,3,"")))</f>
        <v>1</v>
      </c>
      <c r="F97" s="81" t="s">
        <v>41</v>
      </c>
      <c r="G97" s="89">
        <f>IF(F97='Tablas AR'!$B$10,1,IF('Análisis de Riesgos'!F97='Tablas AR'!$B$11,2,IF('Análisis de Riesgos'!F97='Tablas AR'!$B$12,3,"")))</f>
        <v>3</v>
      </c>
      <c r="H97" s="89">
        <f t="shared" si="1"/>
        <v>3</v>
      </c>
    </row>
    <row r="98" ht="14.25" customHeight="1">
      <c r="B98" s="91" t="s">
        <v>117</v>
      </c>
      <c r="C98" s="92" t="s">
        <v>29</v>
      </c>
      <c r="D98" s="81" t="s">
        <v>37</v>
      </c>
      <c r="E98" s="89">
        <f>IF(D98='Tablas AR'!$B$4,1,IF('Análisis de Riesgos'!D98='Tablas AR'!$B$5,2,IF('Análisis de Riesgos'!D98='Tablas AR'!$B$6,3,"")))</f>
        <v>1</v>
      </c>
      <c r="F98" s="81" t="s">
        <v>41</v>
      </c>
      <c r="G98" s="89">
        <f>IF(F98='Tablas AR'!$B$10,1,IF('Análisis de Riesgos'!F98='Tablas AR'!$B$11,2,IF('Análisis de Riesgos'!F98='Tablas AR'!$B$12,3,"")))</f>
        <v>3</v>
      </c>
      <c r="H98" s="89">
        <f t="shared" si="1"/>
        <v>3</v>
      </c>
    </row>
    <row r="99" ht="14.25" customHeight="1">
      <c r="B99" s="91" t="s">
        <v>117</v>
      </c>
      <c r="C99" s="92" t="s">
        <v>68</v>
      </c>
      <c r="D99" s="81" t="s">
        <v>39</v>
      </c>
      <c r="E99" s="89">
        <f>IF(D99='Tablas AR'!$B$4,1,IF('Análisis de Riesgos'!D99='Tablas AR'!$B$5,2,IF('Análisis de Riesgos'!D99='Tablas AR'!$B$6,3,"")))</f>
        <v>2</v>
      </c>
      <c r="F99" s="81" t="s">
        <v>41</v>
      </c>
      <c r="G99" s="89">
        <f>IF(F99='Tablas AR'!$B$10,1,IF('Análisis de Riesgos'!F99='Tablas AR'!$B$11,2,IF('Análisis de Riesgos'!F99='Tablas AR'!$B$12,3,"")))</f>
        <v>3</v>
      </c>
      <c r="H99" s="89">
        <f t="shared" si="1"/>
        <v>6</v>
      </c>
    </row>
    <row r="100" ht="14.25" customHeight="1">
      <c r="B100" s="91" t="s">
        <v>117</v>
      </c>
      <c r="C100" s="92" t="s">
        <v>70</v>
      </c>
      <c r="D100" s="81" t="s">
        <v>37</v>
      </c>
      <c r="E100" s="89">
        <f>IF(D100='Tablas AR'!$B$4,1,IF('Análisis de Riesgos'!D100='Tablas AR'!$B$5,2,IF('Análisis de Riesgos'!D100='Tablas AR'!$B$6,3,"")))</f>
        <v>1</v>
      </c>
      <c r="F100" s="81" t="s">
        <v>37</v>
      </c>
      <c r="G100" s="89">
        <f>IF(F100='Tablas AR'!$B$10,1,IF('Análisis de Riesgos'!F100='Tablas AR'!$B$11,2,IF('Análisis de Riesgos'!F100='Tablas AR'!$B$12,3,"")))</f>
        <v>1</v>
      </c>
      <c r="H100" s="89">
        <f t="shared" si="1"/>
        <v>1</v>
      </c>
    </row>
    <row r="101" ht="14.25" customHeight="1">
      <c r="B101" s="91" t="s">
        <v>117</v>
      </c>
      <c r="C101" s="92" t="s">
        <v>73</v>
      </c>
      <c r="D101" s="81" t="s">
        <v>39</v>
      </c>
      <c r="E101" s="89">
        <f>IF(D101='Tablas AR'!$B$4,1,IF('Análisis de Riesgos'!D101='Tablas AR'!$B$5,2,IF('Análisis de Riesgos'!D101='Tablas AR'!$B$6,3,"")))</f>
        <v>2</v>
      </c>
      <c r="F101" s="81" t="s">
        <v>41</v>
      </c>
      <c r="G101" s="89">
        <f>IF(F101='Tablas AR'!$B$10,1,IF('Análisis de Riesgos'!F101='Tablas AR'!$B$11,2,IF('Análisis de Riesgos'!F101='Tablas AR'!$B$12,3,"")))</f>
        <v>3</v>
      </c>
      <c r="H101" s="89">
        <f t="shared" si="1"/>
        <v>6</v>
      </c>
    </row>
    <row r="102" ht="14.25" customHeight="1">
      <c r="B102" s="91" t="s">
        <v>117</v>
      </c>
      <c r="C102" s="92" t="s">
        <v>76</v>
      </c>
      <c r="D102" s="81" t="s">
        <v>39</v>
      </c>
      <c r="E102" s="89">
        <f>IF(D102='Tablas AR'!$B$4,1,IF('Análisis de Riesgos'!D102='Tablas AR'!$B$5,2,IF('Análisis de Riesgos'!D102='Tablas AR'!$B$6,3,"")))</f>
        <v>2</v>
      </c>
      <c r="F102" s="81" t="s">
        <v>41</v>
      </c>
      <c r="G102" s="89">
        <f>IF(F102='Tablas AR'!$B$10,1,IF('Análisis de Riesgos'!F102='Tablas AR'!$B$11,2,IF('Análisis de Riesgos'!F102='Tablas AR'!$B$12,3,"")))</f>
        <v>3</v>
      </c>
      <c r="H102" s="89">
        <f t="shared" si="1"/>
        <v>6</v>
      </c>
    </row>
    <row r="103" ht="14.25" customHeight="1">
      <c r="B103" s="93" t="s">
        <v>119</v>
      </c>
      <c r="C103" s="92" t="s">
        <v>57</v>
      </c>
      <c r="D103" s="81" t="s">
        <v>37</v>
      </c>
      <c r="E103" s="89">
        <f>IF(D103='Tablas AR'!$B$4,1,IF('Análisis de Riesgos'!D103='Tablas AR'!$B$5,2,IF('Análisis de Riesgos'!D103='Tablas AR'!$B$6,3,"")))</f>
        <v>1</v>
      </c>
      <c r="F103" s="81" t="s">
        <v>41</v>
      </c>
      <c r="G103" s="89">
        <f>IF(F103='Tablas AR'!$B$10,1,IF('Análisis de Riesgos'!F103='Tablas AR'!$B$11,2,IF('Análisis de Riesgos'!F103='Tablas AR'!$B$12,3,"")))</f>
        <v>3</v>
      </c>
      <c r="H103" s="89">
        <f t="shared" si="1"/>
        <v>3</v>
      </c>
    </row>
    <row r="104" ht="14.25" customHeight="1">
      <c r="B104" s="93" t="s">
        <v>119</v>
      </c>
      <c r="C104" s="92" t="s">
        <v>59</v>
      </c>
      <c r="D104" s="81" t="s">
        <v>37</v>
      </c>
      <c r="E104" s="89">
        <f>IF(D104='Tablas AR'!$B$4,1,IF('Análisis de Riesgos'!D104='Tablas AR'!$B$5,2,IF('Análisis de Riesgos'!D104='Tablas AR'!$B$6,3,"")))</f>
        <v>1</v>
      </c>
      <c r="F104" s="81" t="s">
        <v>39</v>
      </c>
      <c r="G104" s="89">
        <f>IF(F104='Tablas AR'!$B$10,1,IF('Análisis de Riesgos'!F104='Tablas AR'!$B$11,2,IF('Análisis de Riesgos'!F104='Tablas AR'!$B$12,3,"")))</f>
        <v>2</v>
      </c>
      <c r="H104" s="89">
        <f t="shared" si="1"/>
        <v>2</v>
      </c>
    </row>
    <row r="105" ht="14.25" customHeight="1">
      <c r="B105" s="93" t="s">
        <v>119</v>
      </c>
      <c r="C105" s="92" t="s">
        <v>62</v>
      </c>
      <c r="D105" s="81" t="s">
        <v>37</v>
      </c>
      <c r="E105" s="89">
        <f>IF(D105='Tablas AR'!$B$4,1,IF('Análisis de Riesgos'!D105='Tablas AR'!$B$5,2,IF('Análisis de Riesgos'!D105='Tablas AR'!$B$6,3,"")))</f>
        <v>1</v>
      </c>
      <c r="F105" s="81" t="s">
        <v>41</v>
      </c>
      <c r="G105" s="89">
        <f>IF(F105='Tablas AR'!$B$10,1,IF('Análisis de Riesgos'!F105='Tablas AR'!$B$11,2,IF('Análisis de Riesgos'!F105='Tablas AR'!$B$12,3,"")))</f>
        <v>3</v>
      </c>
      <c r="H105" s="89">
        <f t="shared" si="1"/>
        <v>3</v>
      </c>
    </row>
    <row r="106" ht="14.25" customHeight="1">
      <c r="B106" s="93" t="s">
        <v>119</v>
      </c>
      <c r="C106" s="92" t="s">
        <v>31</v>
      </c>
      <c r="D106" s="81" t="s">
        <v>37</v>
      </c>
      <c r="E106" s="89">
        <f>IF(D106='Tablas AR'!$B$4,1,IF('Análisis de Riesgos'!D106='Tablas AR'!$B$5,2,IF('Análisis de Riesgos'!D106='Tablas AR'!$B$6,3,"")))</f>
        <v>1</v>
      </c>
      <c r="F106" s="81" t="s">
        <v>39</v>
      </c>
      <c r="G106" s="89">
        <f>IF(F106='Tablas AR'!$B$10,1,IF('Análisis de Riesgos'!F106='Tablas AR'!$B$11,2,IF('Análisis de Riesgos'!F106='Tablas AR'!$B$12,3,"")))</f>
        <v>2</v>
      </c>
      <c r="H106" s="89">
        <f t="shared" si="1"/>
        <v>2</v>
      </c>
    </row>
    <row r="107" ht="14.25" customHeight="1">
      <c r="B107" s="93" t="s">
        <v>119</v>
      </c>
      <c r="C107" s="92" t="s">
        <v>60</v>
      </c>
      <c r="D107" s="81" t="s">
        <v>39</v>
      </c>
      <c r="E107" s="89">
        <f>IF(D107='Tablas AR'!$B$4,1,IF('Análisis de Riesgos'!D107='Tablas AR'!$B$5,2,IF('Análisis de Riesgos'!D107='Tablas AR'!$B$6,3,"")))</f>
        <v>2</v>
      </c>
      <c r="F107" s="81" t="s">
        <v>37</v>
      </c>
      <c r="G107" s="89">
        <f>IF(F107='Tablas AR'!$B$10,1,IF('Análisis de Riesgos'!F107='Tablas AR'!$B$11,2,IF('Análisis de Riesgos'!F107='Tablas AR'!$B$12,3,"")))</f>
        <v>1</v>
      </c>
      <c r="H107" s="89">
        <f t="shared" si="1"/>
        <v>2</v>
      </c>
    </row>
    <row r="108" ht="14.25" customHeight="1">
      <c r="B108" s="93" t="s">
        <v>119</v>
      </c>
      <c r="C108" s="92" t="s">
        <v>63</v>
      </c>
      <c r="D108" s="81" t="s">
        <v>39</v>
      </c>
      <c r="E108" s="89">
        <f>IF(D108='Tablas AR'!$B$4,1,IF('Análisis de Riesgos'!D108='Tablas AR'!$B$5,2,IF('Análisis de Riesgos'!D108='Tablas AR'!$B$6,3,"")))</f>
        <v>2</v>
      </c>
      <c r="F108" s="81" t="s">
        <v>41</v>
      </c>
      <c r="G108" s="89">
        <f>IF(F108='Tablas AR'!$B$10,1,IF('Análisis de Riesgos'!F108='Tablas AR'!$B$11,2,IF('Análisis de Riesgos'!F108='Tablas AR'!$B$12,3,"")))</f>
        <v>3</v>
      </c>
      <c r="H108" s="89">
        <f t="shared" si="1"/>
        <v>6</v>
      </c>
    </row>
    <row r="109" ht="14.25" customHeight="1">
      <c r="B109" s="93" t="s">
        <v>119</v>
      </c>
      <c r="C109" s="92" t="s">
        <v>65</v>
      </c>
      <c r="D109" s="81" t="s">
        <v>39</v>
      </c>
      <c r="E109" s="89">
        <f>IF(D109='Tablas AR'!$B$4,1,IF('Análisis de Riesgos'!D109='Tablas AR'!$B$5,2,IF('Análisis de Riesgos'!D109='Tablas AR'!$B$6,3,"")))</f>
        <v>2</v>
      </c>
      <c r="F109" s="81" t="s">
        <v>41</v>
      </c>
      <c r="G109" s="89">
        <f>IF(F109='Tablas AR'!$B$10,1,IF('Análisis de Riesgos'!F109='Tablas AR'!$B$11,2,IF('Análisis de Riesgos'!F109='Tablas AR'!$B$12,3,"")))</f>
        <v>3</v>
      </c>
      <c r="H109" s="89">
        <f t="shared" si="1"/>
        <v>6</v>
      </c>
    </row>
    <row r="110" ht="14.25" customHeight="1">
      <c r="B110" s="93" t="s">
        <v>119</v>
      </c>
      <c r="C110" s="92" t="s">
        <v>81</v>
      </c>
      <c r="D110" s="81" t="s">
        <v>41</v>
      </c>
      <c r="E110" s="89">
        <f>IF(D110='Tablas AR'!$B$4,1,IF('Análisis de Riesgos'!D110='Tablas AR'!$B$5,2,IF('Análisis de Riesgos'!D110='Tablas AR'!$B$6,3,"")))</f>
        <v>3</v>
      </c>
      <c r="F110" s="81" t="s">
        <v>41</v>
      </c>
      <c r="G110" s="89">
        <f>IF(F110='Tablas AR'!$B$10,1,IF('Análisis de Riesgos'!F110='Tablas AR'!$B$11,2,IF('Análisis de Riesgos'!F110='Tablas AR'!$B$12,3,"")))</f>
        <v>3</v>
      </c>
      <c r="H110" s="89">
        <f t="shared" si="1"/>
        <v>9</v>
      </c>
    </row>
    <row r="111" ht="14.25" customHeight="1">
      <c r="B111" s="93" t="s">
        <v>121</v>
      </c>
      <c r="C111" s="92" t="s">
        <v>57</v>
      </c>
      <c r="D111" s="81" t="s">
        <v>37</v>
      </c>
      <c r="E111" s="89">
        <f>IF(D111='Tablas AR'!$B$4,1,IF('Análisis de Riesgos'!D111='Tablas AR'!$B$5,2,IF('Análisis de Riesgos'!D111='Tablas AR'!$B$6,3,"")))</f>
        <v>1</v>
      </c>
      <c r="F111" s="81" t="s">
        <v>41</v>
      </c>
      <c r="G111" s="89">
        <f>IF(F111='Tablas AR'!$B$10,1,IF('Análisis de Riesgos'!F111='Tablas AR'!$B$11,2,IF('Análisis de Riesgos'!F111='Tablas AR'!$B$12,3,"")))</f>
        <v>3</v>
      </c>
      <c r="H111" s="89">
        <f t="shared" si="1"/>
        <v>3</v>
      </c>
    </row>
    <row r="112" ht="14.25" customHeight="1">
      <c r="B112" s="93" t="s">
        <v>121</v>
      </c>
      <c r="C112" s="92" t="s">
        <v>59</v>
      </c>
      <c r="D112" s="81" t="s">
        <v>37</v>
      </c>
      <c r="E112" s="89">
        <f>IF(D112='Tablas AR'!$B$4,1,IF('Análisis de Riesgos'!D112='Tablas AR'!$B$5,2,IF('Análisis de Riesgos'!D112='Tablas AR'!$B$6,3,"")))</f>
        <v>1</v>
      </c>
      <c r="F112" s="81" t="s">
        <v>39</v>
      </c>
      <c r="G112" s="89">
        <f>IF(F112='Tablas AR'!$B$10,1,IF('Análisis de Riesgos'!F112='Tablas AR'!$B$11,2,IF('Análisis de Riesgos'!F112='Tablas AR'!$B$12,3,"")))</f>
        <v>2</v>
      </c>
      <c r="H112" s="89">
        <f t="shared" si="1"/>
        <v>2</v>
      </c>
    </row>
    <row r="113" ht="14.25" customHeight="1">
      <c r="B113" s="93" t="s">
        <v>121</v>
      </c>
      <c r="C113" s="92" t="s">
        <v>62</v>
      </c>
      <c r="D113" s="81" t="s">
        <v>37</v>
      </c>
      <c r="E113" s="89">
        <f>IF(D113='Tablas AR'!$B$4,1,IF('Análisis de Riesgos'!D113='Tablas AR'!$B$5,2,IF('Análisis de Riesgos'!D113='Tablas AR'!$B$6,3,"")))</f>
        <v>1</v>
      </c>
      <c r="F113" s="81" t="s">
        <v>41</v>
      </c>
      <c r="G113" s="89">
        <f>IF(F113='Tablas AR'!$B$10,1,IF('Análisis de Riesgos'!F113='Tablas AR'!$B$11,2,IF('Análisis de Riesgos'!F113='Tablas AR'!$B$12,3,"")))</f>
        <v>3</v>
      </c>
      <c r="H113" s="89">
        <f t="shared" si="1"/>
        <v>3</v>
      </c>
    </row>
    <row r="114" ht="14.25" customHeight="1">
      <c r="B114" s="93" t="s">
        <v>121</v>
      </c>
      <c r="C114" s="92" t="s">
        <v>31</v>
      </c>
      <c r="D114" s="81" t="s">
        <v>37</v>
      </c>
      <c r="E114" s="89">
        <f>IF(D114='Tablas AR'!$B$4,1,IF('Análisis de Riesgos'!D114='Tablas AR'!$B$5,2,IF('Análisis de Riesgos'!D114='Tablas AR'!$B$6,3,"")))</f>
        <v>1</v>
      </c>
      <c r="F114" s="81" t="s">
        <v>39</v>
      </c>
      <c r="G114" s="89">
        <f>IF(F114='Tablas AR'!$B$10,1,IF('Análisis de Riesgos'!F114='Tablas AR'!$B$11,2,IF('Análisis de Riesgos'!F114='Tablas AR'!$B$12,3,"")))</f>
        <v>2</v>
      </c>
      <c r="H114" s="89">
        <f t="shared" si="1"/>
        <v>2</v>
      </c>
    </row>
    <row r="115" ht="14.25" customHeight="1">
      <c r="B115" s="93" t="s">
        <v>121</v>
      </c>
      <c r="C115" s="92" t="s">
        <v>60</v>
      </c>
      <c r="D115" s="81" t="s">
        <v>39</v>
      </c>
      <c r="E115" s="89">
        <f>IF(D115='Tablas AR'!$B$4,1,IF('Análisis de Riesgos'!D115='Tablas AR'!$B$5,2,IF('Análisis de Riesgos'!D115='Tablas AR'!$B$6,3,"")))</f>
        <v>2</v>
      </c>
      <c r="F115" s="81" t="s">
        <v>37</v>
      </c>
      <c r="G115" s="89">
        <f>IF(F115='Tablas AR'!$B$10,1,IF('Análisis de Riesgos'!F115='Tablas AR'!$B$11,2,IF('Análisis de Riesgos'!F115='Tablas AR'!$B$12,3,"")))</f>
        <v>1</v>
      </c>
      <c r="H115" s="89">
        <f t="shared" si="1"/>
        <v>2</v>
      </c>
    </row>
    <row r="116" ht="14.25" customHeight="1">
      <c r="B116" s="93" t="s">
        <v>121</v>
      </c>
      <c r="C116" s="92" t="s">
        <v>63</v>
      </c>
      <c r="D116" s="81" t="s">
        <v>39</v>
      </c>
      <c r="E116" s="89">
        <f>IF(D116='Tablas AR'!$B$4,1,IF('Análisis de Riesgos'!D116='Tablas AR'!$B$5,2,IF('Análisis de Riesgos'!D116='Tablas AR'!$B$6,3,"")))</f>
        <v>2</v>
      </c>
      <c r="F116" s="81" t="s">
        <v>41</v>
      </c>
      <c r="G116" s="89">
        <f>IF(F116='Tablas AR'!$B$10,1,IF('Análisis de Riesgos'!F116='Tablas AR'!$B$11,2,IF('Análisis de Riesgos'!F116='Tablas AR'!$B$12,3,"")))</f>
        <v>3</v>
      </c>
      <c r="H116" s="89">
        <f t="shared" si="1"/>
        <v>6</v>
      </c>
    </row>
    <row r="117" ht="14.25" customHeight="1">
      <c r="B117" s="93" t="s">
        <v>121</v>
      </c>
      <c r="C117" s="92" t="s">
        <v>65</v>
      </c>
      <c r="D117" s="81" t="s">
        <v>39</v>
      </c>
      <c r="E117" s="89">
        <f>IF(D117='Tablas AR'!$B$4,1,IF('Análisis de Riesgos'!D117='Tablas AR'!$B$5,2,IF('Análisis de Riesgos'!D117='Tablas AR'!$B$6,3,"")))</f>
        <v>2</v>
      </c>
      <c r="F117" s="81" t="s">
        <v>41</v>
      </c>
      <c r="G117" s="89">
        <f>IF(F117='Tablas AR'!$B$10,1,IF('Análisis de Riesgos'!F117='Tablas AR'!$B$11,2,IF('Análisis de Riesgos'!F117='Tablas AR'!$B$12,3,"")))</f>
        <v>3</v>
      </c>
      <c r="H117" s="89">
        <f t="shared" si="1"/>
        <v>6</v>
      </c>
    </row>
    <row r="118" ht="14.25" customHeight="1">
      <c r="B118" s="93" t="s">
        <v>121</v>
      </c>
      <c r="C118" s="92" t="s">
        <v>81</v>
      </c>
      <c r="D118" s="81" t="s">
        <v>41</v>
      </c>
      <c r="E118" s="89">
        <f>IF(D118='Tablas AR'!$B$4,1,IF('Análisis de Riesgos'!D118='Tablas AR'!$B$5,2,IF('Análisis de Riesgos'!D118='Tablas AR'!$B$6,3,"")))</f>
        <v>3</v>
      </c>
      <c r="F118" s="81" t="s">
        <v>41</v>
      </c>
      <c r="G118" s="89">
        <f>IF(F118='Tablas AR'!$B$10,1,IF('Análisis de Riesgos'!F118='Tablas AR'!$B$11,2,IF('Análisis de Riesgos'!F118='Tablas AR'!$B$12,3,"")))</f>
        <v>3</v>
      </c>
      <c r="H118" s="89">
        <f t="shared" si="1"/>
        <v>9</v>
      </c>
    </row>
    <row r="119" ht="14.25" customHeight="1">
      <c r="B119" s="93" t="s">
        <v>121</v>
      </c>
      <c r="C119" s="92" t="s">
        <v>57</v>
      </c>
      <c r="D119" s="81" t="s">
        <v>37</v>
      </c>
      <c r="E119" s="89">
        <f>IF(D119='Tablas AR'!$B$4,1,IF('Análisis de Riesgos'!D119='Tablas AR'!$B$5,2,IF('Análisis de Riesgos'!D119='Tablas AR'!$B$6,3,"")))</f>
        <v>1</v>
      </c>
      <c r="F119" s="81" t="s">
        <v>41</v>
      </c>
      <c r="G119" s="89">
        <f>IF(F119='Tablas AR'!$B$10,1,IF('Análisis de Riesgos'!F119='Tablas AR'!$B$11,2,IF('Análisis de Riesgos'!F119='Tablas AR'!$B$12,3,"")))</f>
        <v>3</v>
      </c>
      <c r="H119" s="89">
        <f t="shared" si="1"/>
        <v>3</v>
      </c>
    </row>
    <row r="120" ht="14.25" customHeight="1">
      <c r="B120" s="93" t="s">
        <v>123</v>
      </c>
      <c r="C120" s="92" t="s">
        <v>59</v>
      </c>
      <c r="D120" s="81" t="s">
        <v>37</v>
      </c>
      <c r="E120" s="89">
        <f>IF(D120='Tablas AR'!$B$4,1,IF('Análisis de Riesgos'!D120='Tablas AR'!$B$5,2,IF('Análisis de Riesgos'!D120='Tablas AR'!$B$6,3,"")))</f>
        <v>1</v>
      </c>
      <c r="F120" s="81" t="s">
        <v>39</v>
      </c>
      <c r="G120" s="89">
        <f>IF(F120='Tablas AR'!$B$10,1,IF('Análisis de Riesgos'!F120='Tablas AR'!$B$11,2,IF('Análisis de Riesgos'!F120='Tablas AR'!$B$12,3,"")))</f>
        <v>2</v>
      </c>
      <c r="H120" s="89">
        <f t="shared" si="1"/>
        <v>2</v>
      </c>
    </row>
    <row r="121" ht="14.25" customHeight="1">
      <c r="B121" s="93" t="s">
        <v>123</v>
      </c>
      <c r="C121" s="92" t="s">
        <v>62</v>
      </c>
      <c r="D121" s="81" t="s">
        <v>37</v>
      </c>
      <c r="E121" s="89">
        <f>IF(D121='Tablas AR'!$B$4,1,IF('Análisis de Riesgos'!D121='Tablas AR'!$B$5,2,IF('Análisis de Riesgos'!D121='Tablas AR'!$B$6,3,"")))</f>
        <v>1</v>
      </c>
      <c r="F121" s="81" t="s">
        <v>41</v>
      </c>
      <c r="G121" s="89">
        <f>IF(F121='Tablas AR'!$B$10,1,IF('Análisis de Riesgos'!F121='Tablas AR'!$B$11,2,IF('Análisis de Riesgos'!F121='Tablas AR'!$B$12,3,"")))</f>
        <v>3</v>
      </c>
      <c r="H121" s="89">
        <f t="shared" si="1"/>
        <v>3</v>
      </c>
    </row>
    <row r="122" ht="14.25" customHeight="1">
      <c r="B122" s="93" t="s">
        <v>123</v>
      </c>
      <c r="C122" s="92" t="s">
        <v>31</v>
      </c>
      <c r="D122" s="81" t="s">
        <v>37</v>
      </c>
      <c r="E122" s="89">
        <f>IF(D122='Tablas AR'!$B$4,1,IF('Análisis de Riesgos'!D122='Tablas AR'!$B$5,2,IF('Análisis de Riesgos'!D122='Tablas AR'!$B$6,3,"")))</f>
        <v>1</v>
      </c>
      <c r="F122" s="81" t="s">
        <v>39</v>
      </c>
      <c r="G122" s="89">
        <f>IF(F122='Tablas AR'!$B$10,1,IF('Análisis de Riesgos'!F122='Tablas AR'!$B$11,2,IF('Análisis de Riesgos'!F122='Tablas AR'!$B$12,3,"")))</f>
        <v>2</v>
      </c>
      <c r="H122" s="89">
        <f t="shared" si="1"/>
        <v>2</v>
      </c>
    </row>
    <row r="123" ht="14.25" customHeight="1">
      <c r="B123" s="93" t="s">
        <v>123</v>
      </c>
      <c r="C123" s="92" t="s">
        <v>60</v>
      </c>
      <c r="D123" s="81" t="s">
        <v>39</v>
      </c>
      <c r="E123" s="89">
        <f>IF(D123='Tablas AR'!$B$4,1,IF('Análisis de Riesgos'!D123='Tablas AR'!$B$5,2,IF('Análisis de Riesgos'!D123='Tablas AR'!$B$6,3,"")))</f>
        <v>2</v>
      </c>
      <c r="F123" s="81" t="s">
        <v>37</v>
      </c>
      <c r="G123" s="89">
        <f>IF(F123='Tablas AR'!$B$10,1,IF('Análisis de Riesgos'!F123='Tablas AR'!$B$11,2,IF('Análisis de Riesgos'!F123='Tablas AR'!$B$12,3,"")))</f>
        <v>1</v>
      </c>
      <c r="H123" s="89">
        <f t="shared" si="1"/>
        <v>2</v>
      </c>
    </row>
    <row r="124" ht="14.25" customHeight="1">
      <c r="B124" s="93" t="s">
        <v>123</v>
      </c>
      <c r="C124" s="92" t="s">
        <v>63</v>
      </c>
      <c r="D124" s="81" t="s">
        <v>39</v>
      </c>
      <c r="E124" s="89">
        <f>IF(D124='Tablas AR'!$B$4,1,IF('Análisis de Riesgos'!D124='Tablas AR'!$B$5,2,IF('Análisis de Riesgos'!D124='Tablas AR'!$B$6,3,"")))</f>
        <v>2</v>
      </c>
      <c r="F124" s="81" t="s">
        <v>41</v>
      </c>
      <c r="G124" s="89">
        <f>IF(F124='Tablas AR'!$B$10,1,IF('Análisis de Riesgos'!F124='Tablas AR'!$B$11,2,IF('Análisis de Riesgos'!F124='Tablas AR'!$B$12,3,"")))</f>
        <v>3</v>
      </c>
      <c r="H124" s="89">
        <f t="shared" si="1"/>
        <v>6</v>
      </c>
    </row>
    <row r="125" ht="14.25" customHeight="1">
      <c r="B125" s="93" t="s">
        <v>123</v>
      </c>
      <c r="C125" s="92" t="s">
        <v>65</v>
      </c>
      <c r="D125" s="81" t="s">
        <v>39</v>
      </c>
      <c r="E125" s="89">
        <f>IF(D125='Tablas AR'!$B$4,1,IF('Análisis de Riesgos'!D125='Tablas AR'!$B$5,2,IF('Análisis de Riesgos'!D125='Tablas AR'!$B$6,3,"")))</f>
        <v>2</v>
      </c>
      <c r="F125" s="81" t="s">
        <v>41</v>
      </c>
      <c r="G125" s="89">
        <f>IF(F125='Tablas AR'!$B$10,1,IF('Análisis de Riesgos'!F125='Tablas AR'!$B$11,2,IF('Análisis de Riesgos'!F125='Tablas AR'!$B$12,3,"")))</f>
        <v>3</v>
      </c>
      <c r="H125" s="89">
        <f t="shared" si="1"/>
        <v>6</v>
      </c>
    </row>
    <row r="126" ht="14.25" customHeight="1">
      <c r="B126" s="93" t="s">
        <v>123</v>
      </c>
      <c r="C126" s="92" t="s">
        <v>81</v>
      </c>
      <c r="D126" s="81" t="s">
        <v>41</v>
      </c>
      <c r="E126" s="89">
        <f>IF(D126='Tablas AR'!$B$4,1,IF('Análisis de Riesgos'!D126='Tablas AR'!$B$5,2,IF('Análisis de Riesgos'!D126='Tablas AR'!$B$6,3,"")))</f>
        <v>3</v>
      </c>
      <c r="F126" s="81" t="s">
        <v>41</v>
      </c>
      <c r="G126" s="89">
        <f>IF(F126='Tablas AR'!$B$10,1,IF('Análisis de Riesgos'!F126='Tablas AR'!$B$11,2,IF('Análisis de Riesgos'!F126='Tablas AR'!$B$12,3,"")))</f>
        <v>3</v>
      </c>
      <c r="H126" s="89">
        <f t="shared" si="1"/>
        <v>9</v>
      </c>
    </row>
    <row r="127" ht="14.25" customHeight="1">
      <c r="B127" s="94"/>
      <c r="C127" s="94"/>
      <c r="D127" s="89"/>
      <c r="E127" s="89" t="str">
        <f>IF(D127='Tablas AR'!$B$4,1,IF('Análisis de Riesgos'!D127='Tablas AR'!$B$5,2,IF('Análisis de Riesgos'!D127='Tablas AR'!$B$6,3,"")))</f>
        <v/>
      </c>
      <c r="F127" s="89"/>
      <c r="G127" s="89" t="str">
        <f>IF(F127='Tablas AR'!$B$10,1,IF('Análisis de Riesgos'!F127='Tablas AR'!$B$11,2,IF('Análisis de Riesgos'!F127='Tablas AR'!$B$12,3,"")))</f>
        <v/>
      </c>
      <c r="H127" s="89">
        <f t="shared" si="1"/>
        <v>0</v>
      </c>
    </row>
    <row r="128" ht="14.25" customHeight="1">
      <c r="B128" s="94"/>
      <c r="C128" s="94"/>
      <c r="D128" s="89"/>
      <c r="E128" s="89" t="str">
        <f>IF(D128='Tablas AR'!$B$4,1,IF('Análisis de Riesgos'!D128='Tablas AR'!$B$5,2,IF('Análisis de Riesgos'!D128='Tablas AR'!$B$6,3,"")))</f>
        <v/>
      </c>
      <c r="F128" s="89"/>
      <c r="G128" s="89" t="str">
        <f>IF(F128='Tablas AR'!$B$10,1,IF('Análisis de Riesgos'!F128='Tablas AR'!$B$11,2,IF('Análisis de Riesgos'!F128='Tablas AR'!$B$12,3,"")))</f>
        <v/>
      </c>
      <c r="H128" s="89">
        <f t="shared" si="1"/>
        <v>0</v>
      </c>
    </row>
    <row r="129" ht="14.25" customHeight="1">
      <c r="B129" s="94"/>
      <c r="C129" s="94"/>
      <c r="D129" s="89"/>
      <c r="E129" s="89" t="str">
        <f>IF(D129='Tablas AR'!$B$4,1,IF('Análisis de Riesgos'!D129='Tablas AR'!$B$5,2,IF('Análisis de Riesgos'!D129='Tablas AR'!$B$6,3,"")))</f>
        <v/>
      </c>
      <c r="F129" s="89"/>
      <c r="G129" s="89" t="str">
        <f>IF(F129='Tablas AR'!$B$10,1,IF('Análisis de Riesgos'!F129='Tablas AR'!$B$11,2,IF('Análisis de Riesgos'!F129='Tablas AR'!$B$12,3,"")))</f>
        <v/>
      </c>
      <c r="H129" s="89">
        <f t="shared" si="1"/>
        <v>0</v>
      </c>
    </row>
    <row r="130" ht="14.25" customHeight="1">
      <c r="B130" s="94"/>
      <c r="C130" s="94"/>
      <c r="D130" s="89"/>
      <c r="E130" s="89" t="str">
        <f>IF(D130='Tablas AR'!$B$4,1,IF('Análisis de Riesgos'!D130='Tablas AR'!$B$5,2,IF('Análisis de Riesgos'!D130='Tablas AR'!$B$6,3,"")))</f>
        <v/>
      </c>
      <c r="F130" s="89"/>
      <c r="G130" s="89" t="str">
        <f>IF(F130='Tablas AR'!$B$10,1,IF('Análisis de Riesgos'!F130='Tablas AR'!$B$11,2,IF('Análisis de Riesgos'!F130='Tablas AR'!$B$12,3,"")))</f>
        <v/>
      </c>
      <c r="H130" s="89">
        <f t="shared" si="1"/>
        <v>0</v>
      </c>
    </row>
    <row r="131" ht="14.25" customHeight="1">
      <c r="B131" s="94"/>
      <c r="C131" s="94"/>
      <c r="D131" s="89"/>
      <c r="E131" s="89" t="str">
        <f>IF(D131='Tablas AR'!$B$4,1,IF('Análisis de Riesgos'!D131='Tablas AR'!$B$5,2,IF('Análisis de Riesgos'!D131='Tablas AR'!$B$6,3,"")))</f>
        <v/>
      </c>
      <c r="F131" s="89"/>
      <c r="G131" s="89" t="str">
        <f>IF(F131='Tablas AR'!$B$10,1,IF('Análisis de Riesgos'!F131='Tablas AR'!$B$11,2,IF('Análisis de Riesgos'!F131='Tablas AR'!$B$12,3,"")))</f>
        <v/>
      </c>
      <c r="H131" s="89">
        <f t="shared" si="1"/>
        <v>0</v>
      </c>
    </row>
    <row r="132" ht="14.25" customHeight="1">
      <c r="B132" s="94"/>
      <c r="C132" s="94"/>
      <c r="D132" s="89"/>
      <c r="E132" s="89" t="str">
        <f>IF(D132='Tablas AR'!$B$4,1,IF('Análisis de Riesgos'!D132='Tablas AR'!$B$5,2,IF('Análisis de Riesgos'!D132='Tablas AR'!$B$6,3,"")))</f>
        <v/>
      </c>
      <c r="F132" s="89"/>
      <c r="G132" s="89" t="str">
        <f>IF(F132='Tablas AR'!$B$10,1,IF('Análisis de Riesgos'!F132='Tablas AR'!$B$11,2,IF('Análisis de Riesgos'!F132='Tablas AR'!$B$12,3,"")))</f>
        <v/>
      </c>
      <c r="H132" s="89">
        <f t="shared" si="1"/>
        <v>0</v>
      </c>
    </row>
    <row r="133" ht="14.25" customHeight="1">
      <c r="B133" s="94"/>
      <c r="C133" s="94"/>
      <c r="D133" s="89"/>
      <c r="E133" s="89" t="str">
        <f>IF(D133='Tablas AR'!$B$4,1,IF('Análisis de Riesgos'!D133='Tablas AR'!$B$5,2,IF('Análisis de Riesgos'!D133='Tablas AR'!$B$6,3,"")))</f>
        <v/>
      </c>
      <c r="F133" s="89"/>
      <c r="G133" s="89" t="str">
        <f>IF(F133='Tablas AR'!$B$10,1,IF('Análisis de Riesgos'!F133='Tablas AR'!$B$11,2,IF('Análisis de Riesgos'!F133='Tablas AR'!$B$12,3,"")))</f>
        <v/>
      </c>
      <c r="H133" s="89">
        <f t="shared" si="1"/>
        <v>0</v>
      </c>
    </row>
    <row r="134" ht="14.25" customHeight="1">
      <c r="B134" s="94"/>
      <c r="C134" s="94"/>
      <c r="D134" s="89"/>
      <c r="E134" s="89" t="str">
        <f>IF(D134='Tablas AR'!$B$4,1,IF('Análisis de Riesgos'!D134='Tablas AR'!$B$5,2,IF('Análisis de Riesgos'!D134='Tablas AR'!$B$6,3,"")))</f>
        <v/>
      </c>
      <c r="F134" s="89"/>
      <c r="G134" s="89" t="str">
        <f>IF(F134='Tablas AR'!$B$10,1,IF('Análisis de Riesgos'!F134='Tablas AR'!$B$11,2,IF('Análisis de Riesgos'!F134='Tablas AR'!$B$12,3,"")))</f>
        <v/>
      </c>
      <c r="H134" s="89">
        <f t="shared" si="1"/>
        <v>0</v>
      </c>
    </row>
    <row r="135" ht="14.25" customHeight="1">
      <c r="B135" s="94"/>
      <c r="C135" s="94"/>
      <c r="D135" s="89"/>
      <c r="E135" s="89" t="str">
        <f>IF(D135='Tablas AR'!$B$4,1,IF('Análisis de Riesgos'!D135='Tablas AR'!$B$5,2,IF('Análisis de Riesgos'!D135='Tablas AR'!$B$6,3,"")))</f>
        <v/>
      </c>
      <c r="F135" s="89"/>
      <c r="G135" s="89" t="str">
        <f>IF(F135='Tablas AR'!$B$10,1,IF('Análisis de Riesgos'!F135='Tablas AR'!$B$11,2,IF('Análisis de Riesgos'!F135='Tablas AR'!$B$12,3,"")))</f>
        <v/>
      </c>
      <c r="H135" s="89">
        <f t="shared" si="1"/>
        <v>0</v>
      </c>
    </row>
    <row r="136" ht="14.25" customHeight="1">
      <c r="B136" s="94"/>
      <c r="C136" s="94"/>
      <c r="D136" s="89"/>
      <c r="E136" s="89" t="str">
        <f>IF(D136='Tablas AR'!$B$4,1,IF('Análisis de Riesgos'!D136='Tablas AR'!$B$5,2,IF('Análisis de Riesgos'!D136='Tablas AR'!$B$6,3,"")))</f>
        <v/>
      </c>
      <c r="F136" s="89"/>
      <c r="G136" s="89" t="str">
        <f>IF(F136='Tablas AR'!$B$10,1,IF('Análisis de Riesgos'!F136='Tablas AR'!$B$11,2,IF('Análisis de Riesgos'!F136='Tablas AR'!$B$12,3,"")))</f>
        <v/>
      </c>
      <c r="H136" s="89">
        <f t="shared" si="1"/>
        <v>0</v>
      </c>
    </row>
    <row r="137" ht="14.25" customHeight="1">
      <c r="B137" s="94"/>
      <c r="C137" s="94"/>
      <c r="D137" s="89"/>
      <c r="E137" s="89" t="str">
        <f>IF(D137='Tablas AR'!$B$4,1,IF('Análisis de Riesgos'!D137='Tablas AR'!$B$5,2,IF('Análisis de Riesgos'!D137='Tablas AR'!$B$6,3,"")))</f>
        <v/>
      </c>
      <c r="F137" s="89"/>
      <c r="G137" s="89" t="str">
        <f>IF(F137='Tablas AR'!$B$10,1,IF('Análisis de Riesgos'!F137='Tablas AR'!$B$11,2,IF('Análisis de Riesgos'!F137='Tablas AR'!$B$12,3,"")))</f>
        <v/>
      </c>
      <c r="H137" s="89">
        <f t="shared" si="1"/>
        <v>0</v>
      </c>
    </row>
    <row r="138" ht="14.25" customHeight="1">
      <c r="B138" s="94"/>
      <c r="C138" s="94"/>
      <c r="D138" s="89"/>
      <c r="E138" s="89" t="str">
        <f>IF(D138='Tablas AR'!$B$4,1,IF('Análisis de Riesgos'!D138='Tablas AR'!$B$5,2,IF('Análisis de Riesgos'!D138='Tablas AR'!$B$6,3,"")))</f>
        <v/>
      </c>
      <c r="F138" s="89"/>
      <c r="G138" s="89" t="str">
        <f>IF(F138='Tablas AR'!$B$10,1,IF('Análisis de Riesgos'!F138='Tablas AR'!$B$11,2,IF('Análisis de Riesgos'!F138='Tablas AR'!$B$12,3,"")))</f>
        <v/>
      </c>
      <c r="H138" s="89">
        <f t="shared" si="1"/>
        <v>0</v>
      </c>
    </row>
    <row r="139" ht="14.25" customHeight="1">
      <c r="B139" s="94"/>
      <c r="C139" s="94"/>
      <c r="D139" s="89"/>
      <c r="E139" s="89" t="str">
        <f>IF(D139='Tablas AR'!$B$4,1,IF('Análisis de Riesgos'!D139='Tablas AR'!$B$5,2,IF('Análisis de Riesgos'!D139='Tablas AR'!$B$6,3,"")))</f>
        <v/>
      </c>
      <c r="F139" s="89"/>
      <c r="G139" s="89" t="str">
        <f>IF(F139='Tablas AR'!$B$10,1,IF('Análisis de Riesgos'!F139='Tablas AR'!$B$11,2,IF('Análisis de Riesgos'!F139='Tablas AR'!$B$12,3,"")))</f>
        <v/>
      </c>
      <c r="H139" s="89">
        <f t="shared" si="1"/>
        <v>0</v>
      </c>
    </row>
    <row r="140" ht="14.25" customHeight="1">
      <c r="B140" s="94"/>
      <c r="C140" s="94"/>
      <c r="D140" s="89"/>
      <c r="E140" s="89" t="str">
        <f>IF(D140='Tablas AR'!$B$4,1,IF('Análisis de Riesgos'!D140='Tablas AR'!$B$5,2,IF('Análisis de Riesgos'!D140='Tablas AR'!$B$6,3,"")))</f>
        <v/>
      </c>
      <c r="F140" s="89"/>
      <c r="G140" s="89" t="str">
        <f>IF(F140='Tablas AR'!$B$10,1,IF('Análisis de Riesgos'!F140='Tablas AR'!$B$11,2,IF('Análisis de Riesgos'!F140='Tablas AR'!$B$12,3,"")))</f>
        <v/>
      </c>
      <c r="H140" s="89">
        <f t="shared" si="1"/>
        <v>0</v>
      </c>
    </row>
    <row r="141" ht="14.25" customHeight="1">
      <c r="B141" s="94"/>
      <c r="C141" s="94"/>
      <c r="D141" s="89"/>
      <c r="E141" s="89" t="str">
        <f>IF(D141='Tablas AR'!$B$4,1,IF('Análisis de Riesgos'!D141='Tablas AR'!$B$5,2,IF('Análisis de Riesgos'!D141='Tablas AR'!$B$6,3,"")))</f>
        <v/>
      </c>
      <c r="F141" s="89"/>
      <c r="G141" s="89" t="str">
        <f>IF(F141='Tablas AR'!$B$10,1,IF('Análisis de Riesgos'!F141='Tablas AR'!$B$11,2,IF('Análisis de Riesgos'!F141='Tablas AR'!$B$12,3,"")))</f>
        <v/>
      </c>
      <c r="H141" s="89">
        <f t="shared" si="1"/>
        <v>0</v>
      </c>
    </row>
    <row r="142" ht="14.25" customHeight="1">
      <c r="B142" s="94"/>
      <c r="C142" s="94"/>
      <c r="D142" s="89"/>
      <c r="E142" s="89" t="str">
        <f>IF(D142='Tablas AR'!$B$4,1,IF('Análisis de Riesgos'!D142='Tablas AR'!$B$5,2,IF('Análisis de Riesgos'!D142='Tablas AR'!$B$6,3,"")))</f>
        <v/>
      </c>
      <c r="F142" s="89"/>
      <c r="G142" s="89" t="str">
        <f>IF(F142='Tablas AR'!$B$10,1,IF('Análisis de Riesgos'!F142='Tablas AR'!$B$11,2,IF('Análisis de Riesgos'!F142='Tablas AR'!$B$12,3,"")))</f>
        <v/>
      </c>
      <c r="H142" s="89">
        <f t="shared" si="1"/>
        <v>0</v>
      </c>
    </row>
    <row r="143" ht="14.25" customHeight="1">
      <c r="B143" s="94"/>
      <c r="C143" s="94"/>
      <c r="D143" s="89"/>
      <c r="E143" s="89" t="str">
        <f>IF(D143='Tablas AR'!$B$4,1,IF('Análisis de Riesgos'!D143='Tablas AR'!$B$5,2,IF('Análisis de Riesgos'!D143='Tablas AR'!$B$6,3,"")))</f>
        <v/>
      </c>
      <c r="F143" s="89"/>
      <c r="G143" s="89" t="str">
        <f>IF(F143='Tablas AR'!$B$10,1,IF('Análisis de Riesgos'!F143='Tablas AR'!$B$11,2,IF('Análisis de Riesgos'!F143='Tablas AR'!$B$12,3,"")))</f>
        <v/>
      </c>
      <c r="H143" s="89">
        <f t="shared" si="1"/>
        <v>0</v>
      </c>
    </row>
    <row r="144" ht="14.25" customHeight="1">
      <c r="B144" s="94"/>
      <c r="C144" s="94"/>
      <c r="D144" s="89"/>
      <c r="E144" s="89" t="str">
        <f>IF(D144='Tablas AR'!$B$4,1,IF('Análisis de Riesgos'!D144='Tablas AR'!$B$5,2,IF('Análisis de Riesgos'!D144='Tablas AR'!$B$6,3,"")))</f>
        <v/>
      </c>
      <c r="F144" s="89"/>
      <c r="G144" s="89" t="str">
        <f>IF(F144='Tablas AR'!$B$10,1,IF('Análisis de Riesgos'!F144='Tablas AR'!$B$11,2,IF('Análisis de Riesgos'!F144='Tablas AR'!$B$12,3,"")))</f>
        <v/>
      </c>
      <c r="H144" s="89">
        <f t="shared" si="1"/>
        <v>0</v>
      </c>
    </row>
    <row r="145" ht="14.25" customHeight="1">
      <c r="B145" s="94"/>
      <c r="C145" s="94"/>
      <c r="D145" s="89"/>
      <c r="E145" s="89" t="str">
        <f>IF(D145='Tablas AR'!$B$4,1,IF('Análisis de Riesgos'!D145='Tablas AR'!$B$5,2,IF('Análisis de Riesgos'!D145='Tablas AR'!$B$6,3,"")))</f>
        <v/>
      </c>
      <c r="F145" s="89"/>
      <c r="G145" s="89" t="str">
        <f>IF(F145='Tablas AR'!$B$10,1,IF('Análisis de Riesgos'!F145='Tablas AR'!$B$11,2,IF('Análisis de Riesgos'!F145='Tablas AR'!$B$12,3,"")))</f>
        <v/>
      </c>
      <c r="H145" s="89">
        <f t="shared" si="1"/>
        <v>0</v>
      </c>
    </row>
    <row r="146" ht="14.25" customHeight="1">
      <c r="B146" s="94"/>
      <c r="C146" s="94"/>
      <c r="D146" s="89"/>
      <c r="E146" s="89" t="str">
        <f>IF(D146='Tablas AR'!$B$4,1,IF('Análisis de Riesgos'!D146='Tablas AR'!$B$5,2,IF('Análisis de Riesgos'!D146='Tablas AR'!$B$6,3,"")))</f>
        <v/>
      </c>
      <c r="F146" s="89"/>
      <c r="G146" s="89" t="str">
        <f>IF(F146='Tablas AR'!$B$10,1,IF('Análisis de Riesgos'!F146='Tablas AR'!$B$11,2,IF('Análisis de Riesgos'!F146='Tablas AR'!$B$12,3,"")))</f>
        <v/>
      </c>
      <c r="H146" s="89">
        <f t="shared" si="1"/>
        <v>0</v>
      </c>
    </row>
    <row r="147" ht="14.25" customHeight="1">
      <c r="B147" s="94"/>
      <c r="C147" s="94"/>
      <c r="D147" s="89"/>
      <c r="E147" s="89" t="str">
        <f>IF(D147='Tablas AR'!$B$4,1,IF('Análisis de Riesgos'!D147='Tablas AR'!$B$5,2,IF('Análisis de Riesgos'!D147='Tablas AR'!$B$6,3,"")))</f>
        <v/>
      </c>
      <c r="F147" s="89"/>
      <c r="G147" s="89" t="str">
        <f>IF(F147='Tablas AR'!$B$10,1,IF('Análisis de Riesgos'!F147='Tablas AR'!$B$11,2,IF('Análisis de Riesgos'!F147='Tablas AR'!$B$12,3,"")))</f>
        <v/>
      </c>
      <c r="H147" s="89">
        <f t="shared" si="1"/>
        <v>0</v>
      </c>
    </row>
    <row r="148" ht="14.25" customHeight="1">
      <c r="B148" s="94"/>
      <c r="C148" s="94"/>
      <c r="D148" s="89"/>
      <c r="E148" s="89" t="str">
        <f>IF(D148='Tablas AR'!$B$4,1,IF('Análisis de Riesgos'!D148='Tablas AR'!$B$5,2,IF('Análisis de Riesgos'!D148='Tablas AR'!$B$6,3,"")))</f>
        <v/>
      </c>
      <c r="F148" s="89"/>
      <c r="G148" s="89" t="str">
        <f>IF(F148='Tablas AR'!$B$10,1,IF('Análisis de Riesgos'!F148='Tablas AR'!$B$11,2,IF('Análisis de Riesgos'!F148='Tablas AR'!$B$12,3,"")))</f>
        <v/>
      </c>
      <c r="H148" s="89">
        <f t="shared" si="1"/>
        <v>0</v>
      </c>
    </row>
    <row r="149" ht="14.25" customHeight="1">
      <c r="B149" s="94"/>
      <c r="C149" s="94"/>
      <c r="D149" s="89"/>
      <c r="E149" s="89" t="str">
        <f>IF(D149='Tablas AR'!$B$4,1,IF('Análisis de Riesgos'!D149='Tablas AR'!$B$5,2,IF('Análisis de Riesgos'!D149='Tablas AR'!$B$6,3,"")))</f>
        <v/>
      </c>
      <c r="F149" s="89"/>
      <c r="G149" s="89" t="str">
        <f>IF(F149='Tablas AR'!$B$10,1,IF('Análisis de Riesgos'!F149='Tablas AR'!$B$11,2,IF('Análisis de Riesgos'!F149='Tablas AR'!$B$12,3,"")))</f>
        <v/>
      </c>
      <c r="H149" s="89">
        <f t="shared" si="1"/>
        <v>0</v>
      </c>
    </row>
    <row r="150" ht="14.25" customHeight="1">
      <c r="B150" s="94"/>
      <c r="C150" s="94"/>
      <c r="D150" s="89"/>
      <c r="E150" s="89" t="str">
        <f>IF(D150='Tablas AR'!$B$4,1,IF('Análisis de Riesgos'!D150='Tablas AR'!$B$5,2,IF('Análisis de Riesgos'!D150='Tablas AR'!$B$6,3,"")))</f>
        <v/>
      </c>
      <c r="F150" s="89"/>
      <c r="G150" s="89" t="str">
        <f>IF(F150='Tablas AR'!$B$10,1,IF('Análisis de Riesgos'!F150='Tablas AR'!$B$11,2,IF('Análisis de Riesgos'!F150='Tablas AR'!$B$12,3,"")))</f>
        <v/>
      </c>
      <c r="H150" s="89">
        <f t="shared" si="1"/>
        <v>0</v>
      </c>
    </row>
  </sheetData>
  <mergeCells count="1">
    <mergeCell ref="B1:H1"/>
  </mergeCells>
  <conditionalFormatting sqref="H3:H150">
    <cfRule type="cellIs" dxfId="0" priority="1" stopIfTrue="1" operator="equal">
      <formula>1</formula>
    </cfRule>
  </conditionalFormatting>
  <conditionalFormatting sqref="H3:H150">
    <cfRule type="cellIs" dxfId="1" priority="2" stopIfTrue="1" operator="equal">
      <formula>9</formula>
    </cfRule>
  </conditionalFormatting>
  <conditionalFormatting sqref="H3:H150">
    <cfRule type="cellIs" dxfId="2" priority="3" stopIfTrue="1" operator="equal">
      <formula>6</formula>
    </cfRule>
  </conditionalFormatting>
  <conditionalFormatting sqref="H3:H150">
    <cfRule type="cellIs" dxfId="3" priority="4" stopIfTrue="1" operator="equal">
      <formula>4</formula>
    </cfRule>
  </conditionalFormatting>
  <conditionalFormatting sqref="H3:H150">
    <cfRule type="cellIs" dxfId="4" priority="5" stopIfTrue="1" operator="equal">
      <formula>3</formula>
    </cfRule>
  </conditionalFormatting>
  <conditionalFormatting sqref="H3:H150">
    <cfRule type="cellIs" dxfId="5" priority="6" stopIfTrue="1" operator="equal">
      <formula>2</formula>
    </cfRule>
  </conditionalFormatting>
  <dataValidations>
    <dataValidation type="list" allowBlank="1" showErrorMessage="1" sqref="F3:F150">
      <formula1>'Tablas AR'!$B$10:$B$12</formula1>
    </dataValidation>
    <dataValidation type="list" allowBlank="1" showErrorMessage="1" sqref="D3:D150">
      <formula1>'Tablas AR'!$B$4:$B$6</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2014-06-04T15:51:15Z</dcterms:created>
</cp:coreProperties>
</file>